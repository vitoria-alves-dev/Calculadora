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dor" sheetId="1" r:id="rId5"/>
    <sheet state="visible" name="Simulador Reverso" sheetId="2" r:id="rId6"/>
    <sheet state="visible" name="Detalhado" sheetId="3" r:id="rId7"/>
  </sheets>
  <definedNames/>
  <calcPr/>
</workbook>
</file>

<file path=xl/sharedStrings.xml><?xml version="1.0" encoding="utf-8"?>
<sst xmlns="http://schemas.openxmlformats.org/spreadsheetml/2006/main" count="105" uniqueCount="59">
  <si>
    <t>SIMULADOR REVERSO DE ANTECIPAÇÃO</t>
  </si>
  <si>
    <t>SIMULADOR DE ANTECIPAÇÃO DE RECEBÍVEIS</t>
  </si>
  <si>
    <t>Painel de cálculo reverso: defina o valor líquido desejado e obtenha o valor total a ser cobrado</t>
  </si>
  <si>
    <t>Painel interativo para projeção de taxas e valor líquido por parcela</t>
  </si>
  <si>
    <t>PARÂMETROS DA OPERAÇÃO</t>
  </si>
  <si>
    <t>Calculo da antecipação</t>
  </si>
  <si>
    <t>VALOR BRUTO TOTAL</t>
  </si>
  <si>
    <t>VALOR TOTAL A COBRAR</t>
  </si>
  <si>
    <t>TOTAL DE DESCONTOS</t>
  </si>
  <si>
    <t>VALOR LÍQUIDO A RECEBER</t>
  </si>
  <si>
    <t>Cálculo da Antecipação Reversa (Líquido para Bruto)</t>
  </si>
  <si>
    <t>parcela</t>
  </si>
  <si>
    <t>Data da Venda</t>
  </si>
  <si>
    <t>data venda</t>
  </si>
  <si>
    <t>data pagamento</t>
  </si>
  <si>
    <t>data recebimento</t>
  </si>
  <si>
    <t>dias antecipados</t>
  </si>
  <si>
    <t>antecipação</t>
  </si>
  <si>
    <t>Antec. dia</t>
  </si>
  <si>
    <t>Bruto.parcela</t>
  </si>
  <si>
    <t>taxa (mdr)</t>
  </si>
  <si>
    <t>desc. taxa</t>
  </si>
  <si>
    <t>vl. sem taxa</t>
  </si>
  <si>
    <t>desc. ant</t>
  </si>
  <si>
    <t>liq. parcela</t>
  </si>
  <si>
    <t>fator líq</t>
  </si>
  <si>
    <t>Data de Recebimento</t>
  </si>
  <si>
    <t>Taxa Antecipação (mês)</t>
  </si>
  <si>
    <t>Taxa Bandeira (MDR)</t>
  </si>
  <si>
    <t>VALOR DAS PARCELAS</t>
  </si>
  <si>
    <t>CUSTO EFETIVO TOTAL</t>
  </si>
  <si>
    <t>DATA RECEBIMENTO</t>
  </si>
  <si>
    <t>Valor Total da Venda</t>
  </si>
  <si>
    <t>Quantidade de Parcelas</t>
  </si>
  <si>
    <t>1ª parcela ajustada aos centavos</t>
  </si>
  <si>
    <t>Valor Líquido Desejado</t>
  </si>
  <si>
    <t>Liquidação antecipada integral em D+1</t>
  </si>
  <si>
    <t>DETALHAMENTO DO CRONOGRAMA DE PARCELAS</t>
  </si>
  <si>
    <t>Parcela</t>
  </si>
  <si>
    <t>Vencimento Original</t>
  </si>
  <si>
    <t>Data Recebimento</t>
  </si>
  <si>
    <t>Dias Antec.</t>
  </si>
  <si>
    <t>Taxa Antec.</t>
  </si>
  <si>
    <t>Valor Bruto</t>
  </si>
  <si>
    <t>Desconto MDR</t>
  </si>
  <si>
    <t>Desconto Antec.</t>
  </si>
  <si>
    <t>Valor Líquido</t>
  </si>
  <si>
    <t>TOTAL CONSOLIDADO</t>
  </si>
  <si>
    <t>Data da venda:</t>
  </si>
  <si>
    <t>Data recebimento:</t>
  </si>
  <si>
    <t>taxa antecipação</t>
  </si>
  <si>
    <t>taxa bandeira</t>
  </si>
  <si>
    <t>valor:</t>
  </si>
  <si>
    <t>valor líquido desejado:</t>
  </si>
  <si>
    <t>parcelas:</t>
  </si>
  <si>
    <t>valor parcela 1:</t>
  </si>
  <si>
    <t>fator líquido médio:</t>
  </si>
  <si>
    <t>valor demais parcelas:</t>
  </si>
  <si>
    <t>valor bruto calculado: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</si>
</sst>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R$ #,##0.00"/>
    <numFmt numFmtId="166" formatCode="d/m/yyyy"/>
    <numFmt numFmtId="167" formatCode="#,##0.0000"/>
    <numFmt numFmtId="168" formatCode="#,##0.000000"/>
    <numFmt numFmtId="169" formatCode="0.000"/>
  </numFmts>
  <fonts count="22">
    <font>
      <sz val="10.0"/>
      <color rgb="FF000000"/>
      <name val="Arial"/>
      <scheme val="minor"/>
    </font>
    <font>
      <b/>
      <sz val="15.0"/>
      <color rgb="FF1E395F"/>
      <name val="Google Sans"/>
    </font>
    <font>
      <color theme="1"/>
      <name val="Arial"/>
      <scheme val="minor"/>
    </font>
    <font>
      <color theme="1"/>
      <name val="Arial"/>
    </font>
    <font>
      <sz val="10.0"/>
      <color rgb="FF63748A"/>
      <name val="Google Sans"/>
    </font>
    <font>
      <b/>
      <sz val="10.0"/>
      <color rgb="FFFFFFFF"/>
      <name val="Google Sans"/>
    </font>
    <font/>
    <font>
      <b/>
      <sz val="9.0"/>
      <color rgb="FF465469"/>
      <name val="Google Sans"/>
    </font>
    <font>
      <b/>
      <sz val="9.0"/>
      <color rgb="FF065F46"/>
      <name val="Google Sans"/>
    </font>
    <font>
      <b/>
      <sz val="10.0"/>
      <color rgb="FF1E293A"/>
      <name val="Google Sans"/>
    </font>
    <font>
      <b/>
      <sz val="10.0"/>
      <color rgb="FF0F162A"/>
      <name val="Google Sans"/>
    </font>
    <font>
      <b/>
      <sz val="15.0"/>
      <color rgb="FF1E293A"/>
      <name val="Google Sans"/>
    </font>
    <font>
      <b/>
      <sz val="15.0"/>
      <color rgb="FFB81C1C"/>
      <name val="Google Sans"/>
    </font>
    <font>
      <b/>
      <sz val="17.0"/>
      <color rgb="FF047856"/>
      <name val="Google Sans"/>
    </font>
    <font>
      <sz val="9.0"/>
      <color rgb="FF63748A"/>
      <name val="Google Sans"/>
    </font>
    <font>
      <b/>
      <sz val="9.0"/>
      <color rgb="FF059569"/>
      <name val="Google Sans"/>
    </font>
    <font>
      <b/>
      <sz val="11.0"/>
      <color rgb="FF1E293A"/>
      <name val="Google Sans"/>
    </font>
    <font>
      <b/>
      <sz val="13.0"/>
      <color rgb="FF1E293A"/>
      <name val="Google Sans"/>
    </font>
    <font>
      <sz val="8.0"/>
      <color rgb="FF63748A"/>
      <name val="Google Sans"/>
    </font>
    <font>
      <b/>
      <sz val="9.0"/>
      <color rgb="FFFFFFFF"/>
      <name val="Google Sans"/>
    </font>
    <font>
      <sz val="9.0"/>
      <color rgb="FF1E293A"/>
      <name val="Google Sans"/>
    </font>
    <font>
      <sz val="11.0"/>
      <color rgb="FFF7981D"/>
      <name val="Inconsolata"/>
    </font>
  </fonts>
  <fills count="10">
    <fill>
      <patternFill patternType="none"/>
    </fill>
    <fill>
      <patternFill patternType="lightGray"/>
    </fill>
    <fill>
      <patternFill patternType="solid">
        <fgColor rgb="FF1E395F"/>
        <bgColor rgb="FF1E395F"/>
      </patternFill>
    </fill>
    <fill>
      <patternFill patternType="solid">
        <fgColor rgb="FFF8F9FB"/>
        <bgColor rgb="FFF8F9FB"/>
      </patternFill>
    </fill>
    <fill>
      <patternFill patternType="solid">
        <fgColor rgb="FFEBFCF5"/>
        <bgColor rgb="FFEBFCF5"/>
      </patternFill>
    </fill>
    <fill>
      <patternFill patternType="solid">
        <fgColor rgb="FFF0F5F8"/>
        <bgColor rgb="FFF0F5F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2C4E78"/>
        <bgColor rgb="FF2C4E78"/>
      </patternFill>
    </fill>
    <fill>
      <patternFill patternType="solid">
        <fgColor rgb="FFE1E8EF"/>
        <bgColor rgb="FFE1E8EF"/>
      </patternFill>
    </fill>
  </fills>
  <borders count="32">
    <border/>
    <border>
      <left style="thin">
        <color rgb="FFCAD4E0"/>
      </left>
      <top style="thin">
        <color rgb="FFCAD4E0"/>
      </top>
      <bottom style="thin">
        <color rgb="FFE1E8E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CAD4E0"/>
      </right>
      <top style="thin">
        <color rgb="FFCAD4E0"/>
      </top>
      <bottom style="thin">
        <color rgb="FFE1E8EF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AD4E0"/>
      </left>
      <top style="thin">
        <color rgb="FFCAD4E0"/>
      </top>
    </border>
    <border>
      <right style="thin">
        <color rgb="FFCAD4E0"/>
      </right>
      <top style="thin">
        <color rgb="FFCAD4E0"/>
      </top>
    </border>
    <border>
      <left style="thin">
        <color rgb="FF6DE7B7"/>
      </left>
      <top style="thin">
        <color rgb="FF6DE7B7"/>
      </top>
    </border>
    <border>
      <right style="thin">
        <color rgb="FF6DE7B7"/>
      </right>
      <top style="thin">
        <color rgb="FF6DE7B7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E1E8EF"/>
      </bottom>
    </border>
    <border>
      <left style="thin">
        <color rgb="FFCAD4E0"/>
      </left>
    </border>
    <border>
      <right style="thin">
        <color rgb="FFCAD4E0"/>
      </right>
    </border>
    <border>
      <left style="thin">
        <color rgb="FF6DE7B7"/>
      </left>
    </border>
    <border>
      <right style="thin">
        <color rgb="FF6DE7B7"/>
      </right>
    </border>
    <border>
      <left style="thin">
        <color rgb="FFCAD4E0"/>
      </left>
      <bottom style="thin">
        <color rgb="FFCAD4E0"/>
      </bottom>
    </border>
    <border>
      <right style="thin">
        <color rgb="FFCAD4E0"/>
      </right>
      <bottom style="thin">
        <color rgb="FFCAD4E0"/>
      </bottom>
    </border>
    <border>
      <left style="thin">
        <color rgb="FF6DE7B7"/>
      </left>
      <bottom style="thin">
        <color rgb="FF6DE7B7"/>
      </bottom>
    </border>
    <border>
      <right style="thin">
        <color rgb="FF6DE7B7"/>
      </right>
      <bottom style="thin">
        <color rgb="FF6DE7B7"/>
      </bottom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CAD4E0"/>
      </bottom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CAD4E0"/>
      </bottom>
    </border>
    <border>
      <left style="thin">
        <color rgb="FFCAD4E0"/>
      </left>
      <right style="thin">
        <color rgb="FFE1E8EF"/>
      </right>
      <top style="thin">
        <color rgb="FFCAD4E0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CAD4E0"/>
      </top>
      <bottom style="thin">
        <color rgb="FFE1E8EF"/>
      </bottom>
    </border>
    <border>
      <left style="thin">
        <color rgb="FFE1E8EF"/>
      </left>
      <right style="thin">
        <color rgb="FFCAD4E0"/>
      </right>
      <top style="thin">
        <color rgb="FFCAD4E0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CAD4E0"/>
      </left>
      <top style="thin">
        <color rgb="FFE1E8EF"/>
      </top>
      <bottom style="double">
        <color rgb="FF0F162A"/>
      </bottom>
    </border>
    <border>
      <top style="thin">
        <color rgb="FFE1E8EF"/>
      </top>
      <bottom style="double">
        <color rgb="FF0F162A"/>
      </bottom>
    </border>
    <border>
      <right style="thin">
        <color rgb="FFE1E8EF"/>
      </right>
      <top style="thin">
        <color rgb="FFE1E8EF"/>
      </top>
      <bottom style="double">
        <color rgb="FF0F162A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double">
        <color rgb="FF0F162A"/>
      </bottom>
    </border>
    <border>
      <left style="thin">
        <color rgb="FFE1E8EF"/>
      </left>
      <right style="thin">
        <color rgb="FFCAD4E0"/>
      </right>
      <top style="thin">
        <color rgb="FFE1E8EF"/>
      </top>
      <bottom style="double">
        <color rgb="FF0F162A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Font="1"/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4" numFmtId="0" xfId="0" applyFont="1"/>
    <xf borderId="1" fillId="2" fontId="5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3" fontId="7" numFmtId="0" xfId="0" applyAlignment="1" applyBorder="1" applyFill="1" applyFont="1">
      <alignment horizontal="center" readingOrder="0"/>
    </xf>
    <xf borderId="7" fillId="0" fontId="6" numFmtId="0" xfId="0" applyBorder="1" applyFont="1"/>
    <xf borderId="2" fillId="0" fontId="3" numFmtId="0" xfId="0" applyAlignment="1" applyBorder="1" applyFont="1">
      <alignment horizontal="center" vertical="bottom"/>
    </xf>
    <xf borderId="8" fillId="4" fontId="8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9" fillId="0" fontId="6" numFmtId="0" xfId="0" applyBorder="1" applyFont="1"/>
    <xf borderId="10" fillId="0" fontId="3" numFmtId="0" xfId="0" applyAlignment="1" applyBorder="1" applyFont="1">
      <alignment readingOrder="0" vertical="bottom"/>
    </xf>
    <xf borderId="11" fillId="5" fontId="9" numFmtId="0" xfId="0" applyAlignment="1" applyBorder="1" applyFill="1" applyFont="1">
      <alignment horizontal="left" readingOrder="0"/>
    </xf>
    <xf borderId="10" fillId="0" fontId="3" numFmtId="0" xfId="0" applyAlignment="1" applyBorder="1" applyFont="1">
      <alignment vertical="bottom"/>
    </xf>
    <xf borderId="12" fillId="6" fontId="10" numFmtId="164" xfId="0" applyAlignment="1" applyBorder="1" applyFill="1" applyFont="1" applyNumberFormat="1">
      <alignment horizontal="center" readingOrder="0"/>
    </xf>
    <xf borderId="10" fillId="7" fontId="3" numFmtId="0" xfId="0" applyAlignment="1" applyBorder="1" applyFill="1" applyFont="1">
      <alignment vertical="bottom"/>
    </xf>
    <xf borderId="10" fillId="0" fontId="3" numFmtId="4" xfId="0" applyAlignment="1" applyBorder="1" applyFont="1" applyNumberFormat="1">
      <alignment vertical="bottom"/>
    </xf>
    <xf borderId="13" fillId="3" fontId="11" numFmtId="165" xfId="0" applyAlignment="1" applyBorder="1" applyFill="1" applyFont="1" applyNumberFormat="1">
      <alignment horizontal="center"/>
    </xf>
    <xf borderId="14" fillId="0" fontId="6" numFmtId="0" xfId="0" applyBorder="1" applyFont="1"/>
    <xf borderId="10" fillId="0" fontId="3" numFmtId="0" xfId="0" applyAlignment="1" applyBorder="1" applyFont="1">
      <alignment horizontal="right" readingOrder="0" vertical="bottom"/>
    </xf>
    <xf borderId="10" fillId="0" fontId="3" numFmtId="166" xfId="0" applyAlignment="1" applyBorder="1" applyFont="1" applyNumberFormat="1">
      <alignment horizontal="right" vertical="bottom"/>
    </xf>
    <xf borderId="13" fillId="3" fontId="12" numFmtId="165" xfId="0" applyAlignment="1" applyBorder="1" applyFill="1" applyFont="1" applyNumberFormat="1">
      <alignment horizontal="center"/>
    </xf>
    <xf borderId="10" fillId="0" fontId="3" numFmtId="164" xfId="0" applyAlignment="1" applyBorder="1" applyFont="1" applyNumberFormat="1">
      <alignment horizontal="right" vertical="bottom"/>
    </xf>
    <xf borderId="15" fillId="4" fontId="13" numFmtId="165" xfId="0" applyAlignment="1" applyBorder="1" applyFill="1" applyFont="1" applyNumberFormat="1">
      <alignment horizontal="center"/>
    </xf>
    <xf borderId="16" fillId="0" fontId="6" numFmtId="0" xfId="0" applyBorder="1" applyFont="1"/>
    <xf borderId="10" fillId="0" fontId="3" numFmtId="164" xfId="0" applyAlignment="1" applyBorder="1" applyFont="1" applyNumberFormat="1">
      <alignment horizontal="right" vertical="bottom"/>
    </xf>
    <xf borderId="10" fillId="0" fontId="3" numFmtId="0" xfId="0" applyAlignment="1" applyBorder="1" applyFont="1">
      <alignment horizontal="right" vertical="bottom"/>
    </xf>
    <xf borderId="17" fillId="3" fontId="14" numFmtId="0" xfId="0" applyAlignment="1" applyBorder="1" applyFill="1" applyFont="1">
      <alignment horizontal="center"/>
    </xf>
    <xf borderId="10" fillId="0" fontId="3" numFmtId="10" xfId="0" applyAlignment="1" applyBorder="1" applyFont="1" applyNumberFormat="1">
      <alignment horizontal="right" readingOrder="0" vertical="bottom"/>
    </xf>
    <xf borderId="18" fillId="0" fontId="6" numFmtId="0" xfId="0" applyBorder="1" applyFont="1"/>
    <xf borderId="10" fillId="7" fontId="3" numFmtId="10" xfId="0" applyAlignment="1" applyBorder="1" applyFill="1" applyFont="1" applyNumberFormat="1">
      <alignment horizontal="right" vertical="bottom"/>
    </xf>
    <xf borderId="10" fillId="0" fontId="3" numFmtId="4" xfId="0" applyAlignment="1" applyBorder="1" applyFont="1" applyNumberFormat="1">
      <alignment horizontal="right" vertical="bottom"/>
    </xf>
    <xf borderId="10" fillId="0" fontId="3" numFmtId="10" xfId="0" applyAlignment="1" applyBorder="1" applyFont="1" applyNumberFormat="1">
      <alignment horizontal="right" vertical="bottom"/>
    </xf>
    <xf borderId="19" fillId="4" fontId="15" numFmtId="0" xfId="0" applyAlignment="1" applyBorder="1" applyFill="1" applyFont="1">
      <alignment horizontal="center"/>
    </xf>
    <xf borderId="10" fillId="0" fontId="3" numFmtId="165" xfId="0" applyAlignment="1" applyBorder="1" applyFont="1" applyNumberFormat="1">
      <alignment horizontal="right" vertical="bottom"/>
    </xf>
    <xf borderId="20" fillId="0" fontId="6" numFmtId="0" xfId="0" applyBorder="1" applyFont="1"/>
    <xf borderId="12" fillId="6" fontId="10" numFmtId="10" xfId="0" applyAlignment="1" applyBorder="1" applyFill="1" applyFont="1" applyNumberFormat="1">
      <alignment horizontal="right" readingOrder="0"/>
    </xf>
    <xf borderId="10" fillId="0" fontId="3" numFmtId="167" xfId="0" applyAlignment="1" applyBorder="1" applyFont="1" applyNumberFormat="1">
      <alignment horizontal="right" vertical="bottom"/>
    </xf>
    <xf borderId="6" fillId="5" fontId="7" numFmtId="0" xfId="0" applyAlignment="1" applyBorder="1" applyFill="1" applyFont="1">
      <alignment horizontal="center" readingOrder="0"/>
    </xf>
    <xf borderId="10" fillId="7" fontId="3" numFmtId="168" xfId="0" applyAlignment="1" applyBorder="1" applyFill="1" applyFont="1" applyNumberFormat="1">
      <alignment horizontal="right" vertical="bottom"/>
    </xf>
    <xf borderId="12" fillId="6" fontId="10" numFmtId="165" xfId="0" applyAlignment="1" applyBorder="1" applyFill="1" applyFont="1" applyNumberFormat="1">
      <alignment horizontal="right" readingOrder="0"/>
    </xf>
    <xf borderId="10" fillId="0" fontId="3" numFmtId="169" xfId="0" applyAlignment="1" applyBorder="1" applyFont="1" applyNumberFormat="1">
      <alignment horizontal="right" vertical="bottom"/>
    </xf>
    <xf borderId="13" fillId="5" fontId="16" numFmtId="165" xfId="0" applyAlignment="1" applyBorder="1" applyFill="1" applyFont="1" applyNumberFormat="1">
      <alignment horizontal="center"/>
    </xf>
    <xf borderId="0" fillId="0" fontId="2" numFmtId="0" xfId="0" applyAlignment="1" applyFont="1">
      <alignment readingOrder="0"/>
    </xf>
    <xf borderId="13" fillId="5" fontId="17" numFmtId="165" xfId="0" applyAlignment="1" applyBorder="1" applyFill="1" applyFont="1" applyNumberFormat="1">
      <alignment horizontal="center"/>
    </xf>
    <xf borderId="0" fillId="0" fontId="2" numFmtId="164" xfId="0" applyFont="1" applyNumberFormat="1"/>
    <xf borderId="13" fillId="5" fontId="17" numFmtId="164" xfId="0" applyAlignment="1" applyBorder="1" applyFill="1" applyFont="1" applyNumberFormat="1">
      <alignment horizontal="center"/>
    </xf>
    <xf borderId="21" fillId="5" fontId="9" numFmtId="0" xfId="0" applyAlignment="1" applyBorder="1" applyFill="1" applyFont="1">
      <alignment horizontal="left" readingOrder="0"/>
    </xf>
    <xf borderId="22" fillId="6" fontId="10" numFmtId="1" xfId="0" applyAlignment="1" applyBorder="1" applyFill="1" applyFont="1" applyNumberFormat="1">
      <alignment horizontal="center" readingOrder="0"/>
    </xf>
    <xf borderId="0" fillId="0" fontId="2" numFmtId="14" xfId="0" applyFont="1" applyNumberFormat="1"/>
    <xf borderId="17" fillId="5" fontId="14" numFmtId="0" xfId="0" applyAlignment="1" applyBorder="1" applyFill="1" applyFont="1">
      <alignment horizontal="center" readingOrder="0"/>
    </xf>
    <xf borderId="0" fillId="0" fontId="2" numFmtId="0" xfId="0" applyFont="1"/>
    <xf borderId="17" fillId="5" fontId="18" numFmtId="0" xfId="0" applyAlignment="1" applyBorder="1" applyFill="1" applyFont="1">
      <alignment horizontal="center"/>
    </xf>
    <xf borderId="0" fillId="0" fontId="2" numFmtId="10" xfId="0" applyFont="1" applyNumberFormat="1"/>
    <xf borderId="17" fillId="5" fontId="18" numFmtId="0" xfId="0" applyAlignment="1" applyBorder="1" applyFill="1" applyFont="1">
      <alignment horizontal="center" readingOrder="0"/>
    </xf>
    <xf borderId="0" fillId="2" fontId="5" numFmtId="0" xfId="0" applyAlignment="1" applyFill="1" applyFont="1">
      <alignment horizontal="center" readingOrder="0"/>
    </xf>
    <xf borderId="23" fillId="8" fontId="19" numFmtId="0" xfId="0" applyAlignment="1" applyBorder="1" applyFill="1" applyFont="1">
      <alignment horizontal="center" readingOrder="0"/>
    </xf>
    <xf borderId="13" fillId="5" fontId="9" numFmtId="165" xfId="0" applyAlignment="1" applyBorder="1" applyFill="1" applyFont="1" applyNumberFormat="1">
      <alignment horizontal="center"/>
    </xf>
    <xf borderId="24" fillId="8" fontId="19" numFmtId="0" xfId="0" applyAlignment="1" applyBorder="1" applyFill="1" applyFont="1">
      <alignment horizontal="center" readingOrder="0"/>
    </xf>
    <xf borderId="24" fillId="8" fontId="19" numFmtId="0" xfId="0" applyAlignment="1" applyBorder="1" applyFill="1" applyFont="1">
      <alignment horizontal="right" readingOrder="0"/>
    </xf>
    <xf borderId="25" fillId="8" fontId="19" numFmtId="0" xfId="0" applyAlignment="1" applyBorder="1" applyFill="1" applyFont="1">
      <alignment horizontal="right" readingOrder="0"/>
    </xf>
    <xf borderId="0" fillId="0" fontId="2" numFmtId="165" xfId="0" applyFont="1" applyNumberFormat="1"/>
    <xf borderId="11" fillId="6" fontId="20" numFmtId="1" xfId="0" applyAlignment="1" applyBorder="1" applyFill="1" applyFont="1" applyNumberFormat="1">
      <alignment horizontal="center"/>
    </xf>
    <xf borderId="26" fillId="6" fontId="20" numFmtId="164" xfId="0" applyAlignment="1" applyBorder="1" applyFill="1" applyFont="1" applyNumberFormat="1">
      <alignment horizontal="center"/>
    </xf>
    <xf borderId="26" fillId="6" fontId="20" numFmtId="1" xfId="0" applyAlignment="1" applyBorder="1" applyFill="1" applyFont="1" applyNumberFormat="1">
      <alignment horizontal="center"/>
    </xf>
    <xf borderId="26" fillId="6" fontId="20" numFmtId="10" xfId="0" applyAlignment="1" applyBorder="1" applyFill="1" applyFont="1" applyNumberFormat="1">
      <alignment horizontal="right"/>
    </xf>
    <xf borderId="26" fillId="6" fontId="20" numFmtId="165" xfId="0" applyAlignment="1" applyBorder="1" applyFill="1" applyFont="1" applyNumberFormat="1">
      <alignment horizontal="right"/>
    </xf>
    <xf borderId="10" fillId="6" fontId="21" numFmtId="10" xfId="0" applyAlignment="1" applyBorder="1" applyFill="1" applyFont="1" applyNumberFormat="1">
      <alignment horizontal="right" vertical="bottom"/>
    </xf>
    <xf borderId="12" fillId="6" fontId="20" numFmtId="165" xfId="0" applyAlignment="1" applyBorder="1" applyFill="1" applyFont="1" applyNumberFormat="1">
      <alignment horizontal="right"/>
    </xf>
    <xf borderId="11" fillId="3" fontId="20" numFmtId="1" xfId="0" applyAlignment="1" applyBorder="1" applyFill="1" applyFont="1" applyNumberFormat="1">
      <alignment horizontal="center"/>
    </xf>
    <xf borderId="26" fillId="3" fontId="20" numFmtId="164" xfId="0" applyAlignment="1" applyBorder="1" applyFill="1" applyFont="1" applyNumberFormat="1">
      <alignment horizontal="center"/>
    </xf>
    <xf borderId="26" fillId="3" fontId="20" numFmtId="1" xfId="0" applyAlignment="1" applyBorder="1" applyFill="1" applyFont="1" applyNumberFormat="1">
      <alignment horizontal="center"/>
    </xf>
    <xf borderId="26" fillId="3" fontId="20" numFmtId="10" xfId="0" applyAlignment="1" applyBorder="1" applyFill="1" applyFont="1" applyNumberFormat="1">
      <alignment horizontal="right"/>
    </xf>
    <xf borderId="26" fillId="3" fontId="20" numFmtId="165" xfId="0" applyAlignment="1" applyBorder="1" applyFill="1" applyFont="1" applyNumberFormat="1">
      <alignment horizontal="right"/>
    </xf>
    <xf borderId="12" fillId="3" fontId="20" numFmtId="165" xfId="0" applyAlignment="1" applyBorder="1" applyFill="1" applyFont="1" applyNumberFormat="1">
      <alignment horizontal="right"/>
    </xf>
    <xf borderId="27" fillId="9" fontId="10" numFmtId="0" xfId="0" applyAlignment="1" applyBorder="1" applyFill="1" applyFont="1">
      <alignment horizontal="center" readingOrder="0"/>
    </xf>
    <xf borderId="28" fillId="0" fontId="6" numFmtId="0" xfId="0" applyBorder="1" applyFont="1"/>
    <xf borderId="29" fillId="0" fontId="6" numFmtId="0" xfId="0" applyBorder="1" applyFont="1"/>
    <xf borderId="30" fillId="9" fontId="10" numFmtId="165" xfId="0" applyAlignment="1" applyBorder="1" applyFill="1" applyFont="1" applyNumberFormat="1">
      <alignment horizontal="right"/>
    </xf>
    <xf borderId="31" fillId="9" fontId="10" numFmtId="165" xfId="0" applyAlignment="1" applyBorder="1" applyFill="1" applyFont="1" applyNumberFormat="1">
      <alignment horizontal="right"/>
    </xf>
    <xf borderId="0" fillId="0" fontId="2" numFmtId="10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0.75"/>
    <col customWidth="1" min="3" max="3" width="17.0"/>
    <col customWidth="1" min="4" max="4" width="16.38"/>
    <col customWidth="1" min="5" max="6" width="12.63"/>
    <col customWidth="1" min="7" max="8" width="15.75"/>
    <col customWidth="1" min="9" max="9" width="17.0"/>
    <col customWidth="1" min="10" max="10" width="18.25"/>
  </cols>
  <sheetData>
    <row r="2">
      <c r="B2" s="1" t="s">
        <v>1</v>
      </c>
      <c r="C2" s="3"/>
      <c r="D2" s="3"/>
      <c r="E2" s="3"/>
      <c r="F2" s="3"/>
      <c r="G2" s="3"/>
      <c r="H2" s="3"/>
      <c r="I2" s="3"/>
      <c r="J2" s="3"/>
    </row>
    <row r="3">
      <c r="B3" s="5" t="s">
        <v>3</v>
      </c>
      <c r="C3" s="6"/>
      <c r="D3" s="6"/>
      <c r="E3" s="6"/>
      <c r="F3" s="6"/>
      <c r="G3" s="6"/>
      <c r="H3" s="6"/>
      <c r="I3" s="6"/>
      <c r="J3" s="6"/>
    </row>
    <row r="5">
      <c r="B5" s="7" t="s">
        <v>4</v>
      </c>
      <c r="C5" s="9"/>
      <c r="E5" s="12" t="s">
        <v>6</v>
      </c>
      <c r="F5" s="13"/>
      <c r="G5" s="12" t="s">
        <v>8</v>
      </c>
      <c r="H5" s="13"/>
      <c r="I5" s="15" t="s">
        <v>9</v>
      </c>
      <c r="J5" s="17"/>
    </row>
    <row r="6">
      <c r="B6" s="19" t="s">
        <v>12</v>
      </c>
      <c r="C6" s="21">
        <v>46315.0</v>
      </c>
      <c r="E6" s="24">
        <f>C10</f>
        <v>658</v>
      </c>
      <c r="F6" s="25"/>
      <c r="G6" s="28">
        <f>SUMPRODUCT((Detalhado!A4:A21&lt;=C11)*(Detalhado!J4:J21 + Detalhado!M4:M21))</f>
        <v>34.68</v>
      </c>
      <c r="H6" s="25"/>
      <c r="I6" s="30">
        <f>SUMPRODUCT((Detalhado!A4:A21&lt;=C11)*(Detalhado!N4:N21))</f>
        <v>623.32</v>
      </c>
      <c r="J6" s="31"/>
    </row>
    <row r="7">
      <c r="B7" s="19" t="s">
        <v>26</v>
      </c>
      <c r="C7" s="21">
        <v>46316.0</v>
      </c>
      <c r="E7" s="34" t="str">
        <f>C11 &amp; " parcelas de " &amp; TEXT(Detalhado!F32, "R$ #,##0.00")</f>
        <v>2 parcelas de R$ 329,00</v>
      </c>
      <c r="F7" s="36"/>
      <c r="G7" s="34" t="str">
        <f>IF(C10&gt;0, "MDR: " &amp; TEXT(SUMPRODUCT((Detalhado!A4:A21&lt;=C11)*(Detalhado!J4:J21)), "R$ #,##0.00") &amp; " | Antec: " &amp; TEXT(SUMPRODUCT((Detalhado!A4:A21&lt;=C11)*(Detalhado!M4:M21)), "R$ #,##0.00"), "")</f>
        <v>MDR: R$ 14,41 | Antec: R$ 20,27</v>
      </c>
      <c r="H7" s="36"/>
      <c r="I7" s="40" t="str">
        <f>IF(C10&gt;0, "Recebimento líq. de " &amp; ROUND((I6/C10)*100, 2) &amp; "% do total", "")</f>
        <v>Recebimento líq. de 94,73% do total</v>
      </c>
      <c r="J7" s="42"/>
    </row>
    <row r="8">
      <c r="B8" s="19" t="s">
        <v>27</v>
      </c>
      <c r="C8" s="43">
        <v>0.021</v>
      </c>
    </row>
    <row r="9">
      <c r="B9" s="19" t="s">
        <v>28</v>
      </c>
      <c r="C9" s="43">
        <v>0.0219</v>
      </c>
      <c r="E9" s="45" t="s">
        <v>29</v>
      </c>
      <c r="F9" s="13"/>
      <c r="G9" s="45" t="s">
        <v>30</v>
      </c>
      <c r="H9" s="13"/>
      <c r="I9" s="45" t="s">
        <v>31</v>
      </c>
      <c r="J9" s="13"/>
    </row>
    <row r="10">
      <c r="B10" s="19" t="s">
        <v>32</v>
      </c>
      <c r="C10" s="47">
        <v>658.0</v>
      </c>
      <c r="E10" s="49" t="str">
        <f>"1ª " &amp; TEXT(Detalhado!F31, "R$ #,##0.00") &amp; " | Demais " &amp; TEXT(Detalhado!F32, "R$ #,##0.00")</f>
        <v>1ª R$ 329,00 | Demais R$ 329,00</v>
      </c>
      <c r="F10" s="25"/>
      <c r="G10" s="51" t="str">
        <f>IF(C10&gt;0, ROUND((G6/C10)*100, 2) &amp; "%", "0.00%")</f>
        <v>5,27%</v>
      </c>
      <c r="H10" s="25"/>
      <c r="I10" s="53">
        <f>C7</f>
        <v>46316</v>
      </c>
      <c r="J10" s="25"/>
    </row>
    <row r="11">
      <c r="B11" s="54" t="s">
        <v>33</v>
      </c>
      <c r="C11" s="55">
        <v>2.0</v>
      </c>
      <c r="E11" s="57" t="s">
        <v>34</v>
      </c>
      <c r="F11" s="36"/>
      <c r="G11" s="59" t="str">
        <f>"Taxa MDR: " &amp; TEXT(C9, "0.00%") &amp; " | Antecipação: " &amp; TEXT(C8, "0.00%")</f>
        <v>Taxa MDR: 2,19% | Antecipação: 2,10%</v>
      </c>
      <c r="H11" s="36"/>
      <c r="I11" s="61" t="s">
        <v>36</v>
      </c>
      <c r="J11" s="36"/>
    </row>
    <row r="13">
      <c r="B13" s="62" t="s">
        <v>37</v>
      </c>
    </row>
    <row r="14">
      <c r="B14" s="63" t="s">
        <v>38</v>
      </c>
      <c r="C14" s="65" t="s">
        <v>39</v>
      </c>
      <c r="D14" s="65" t="s">
        <v>40</v>
      </c>
      <c r="E14" s="65" t="s">
        <v>41</v>
      </c>
      <c r="F14" s="66" t="s">
        <v>42</v>
      </c>
      <c r="G14" s="66" t="s">
        <v>43</v>
      </c>
      <c r="H14" s="66" t="s">
        <v>44</v>
      </c>
      <c r="I14" s="66" t="s">
        <v>45</v>
      </c>
      <c r="J14" s="67" t="s">
        <v>46</v>
      </c>
    </row>
    <row r="15">
      <c r="B15" s="69">
        <f>IF(Detalhado!A4&lt;=$C$11, Detalhado!A4, "")</f>
        <v>1</v>
      </c>
      <c r="C15" s="70">
        <f>IF(Detalhado!A4&lt;=$C$11, Detalhado!C4, "")</f>
        <v>46345</v>
      </c>
      <c r="D15" s="70">
        <f>IF(Detalhado!A4&lt;=$C$11, Detalhado!D4, "")</f>
        <v>46316</v>
      </c>
      <c r="E15" s="71">
        <f>IF(Detalhado!A4&lt;=$C$11, Detalhado!E4, "")</f>
        <v>29</v>
      </c>
      <c r="F15" s="72">
        <f>IF(Detalhado!A4&lt;=$C$11, Detalhado!G4, "")</f>
        <v>0.0203</v>
      </c>
      <c r="G15" s="73">
        <f>IF(Detalhado!A4&lt;=$C$11, Detalhado!H4, "")</f>
        <v>329</v>
      </c>
      <c r="H15" s="73">
        <f>IF(Detalhado!A4&lt;=$C$11, Detalhado!J4, "")</f>
        <v>7.21</v>
      </c>
      <c r="I15" s="73">
        <f>IF(Detalhado!A4&lt;=$C$11, Detalhado!M4, "")</f>
        <v>6.53</v>
      </c>
      <c r="J15" s="75">
        <f>IF(Detalhado!A4&lt;=$C$11, Detalhado!N4, "")</f>
        <v>315.26</v>
      </c>
    </row>
    <row r="16">
      <c r="B16" s="76">
        <f>IF(Detalhado!A5&lt;=$C$11, Detalhado!A5, "")</f>
        <v>2</v>
      </c>
      <c r="C16" s="77">
        <f>IF(Detalhado!A5&lt;=$C$11, Detalhado!C5, "")</f>
        <v>46377</v>
      </c>
      <c r="D16" s="77">
        <f>IF(Detalhado!A5&lt;=$C$11, Detalhado!D5, "")</f>
        <v>46316</v>
      </c>
      <c r="E16" s="78">
        <f>IF(Detalhado!A5&lt;=$C$11, Detalhado!E5, "")</f>
        <v>61</v>
      </c>
      <c r="F16" s="79">
        <f>IF(Detalhado!A5&lt;=$C$11, Detalhado!G5, "")</f>
        <v>0.0427</v>
      </c>
      <c r="G16" s="80">
        <f>IF(Detalhado!A5&lt;=$C$11, Detalhado!H5, "")</f>
        <v>329</v>
      </c>
      <c r="H16" s="80">
        <f>IF(Detalhado!A5&lt;=$C$11, Detalhado!J5, "")</f>
        <v>7.2</v>
      </c>
      <c r="I16" s="80">
        <f>IF(Detalhado!A5&lt;=$C$11, Detalhado!M5, "")</f>
        <v>13.74</v>
      </c>
      <c r="J16" s="81">
        <f>IF(Detalhado!A5&lt;=$C$11, Detalhado!N5, "")</f>
        <v>308.06</v>
      </c>
    </row>
    <row r="17">
      <c r="B17" s="69" t="str">
        <f>IF(Detalhado!A6&lt;=$C$11, Detalhado!A6, "")</f>
        <v/>
      </c>
      <c r="C17" s="70" t="str">
        <f>IF(Detalhado!A6&lt;=$C$11, Detalhado!C6, "")</f>
        <v/>
      </c>
      <c r="D17" s="70" t="str">
        <f>IF(Detalhado!A6&lt;=$C$11, Detalhado!D6, "")</f>
        <v/>
      </c>
      <c r="E17" s="71" t="str">
        <f>IF(Detalhado!A6&lt;=$C$11, Detalhado!E6, "")</f>
        <v/>
      </c>
      <c r="F17" s="72" t="str">
        <f>IF(Detalhado!A6&lt;=$C$11, Detalhado!G6, "")</f>
        <v/>
      </c>
      <c r="G17" s="73" t="str">
        <f>IF(Detalhado!A6&lt;=$C$11, Detalhado!H6, "")</f>
        <v/>
      </c>
      <c r="H17" s="73" t="str">
        <f>IF(Detalhado!A6&lt;=$C$11, Detalhado!J6, "")</f>
        <v/>
      </c>
      <c r="I17" s="73" t="str">
        <f>IF(Detalhado!A6&lt;=$C$11, Detalhado!M6, "")</f>
        <v/>
      </c>
      <c r="J17" s="75" t="str">
        <f>IF(Detalhado!A6&lt;=$C$11, Detalhado!N6, "")</f>
        <v/>
      </c>
    </row>
    <row r="18">
      <c r="B18" s="76" t="str">
        <f>IF(Detalhado!A7&lt;=$C$11, Detalhado!A7, "")</f>
        <v/>
      </c>
      <c r="C18" s="77" t="str">
        <f>IF(Detalhado!A7&lt;=$C$11, Detalhado!C7, "")</f>
        <v/>
      </c>
      <c r="D18" s="77" t="str">
        <f>IF(Detalhado!A7&lt;=$C$11, Detalhado!D7, "")</f>
        <v/>
      </c>
      <c r="E18" s="78" t="str">
        <f>IF(Detalhado!A7&lt;=$C$11, Detalhado!E7, "")</f>
        <v/>
      </c>
      <c r="F18" s="79" t="str">
        <f>IF(Detalhado!A7&lt;=$C$11, Detalhado!G7, "")</f>
        <v/>
      </c>
      <c r="G18" s="80" t="str">
        <f>IF(Detalhado!A7&lt;=$C$11, Detalhado!H7, "")</f>
        <v/>
      </c>
      <c r="H18" s="80" t="str">
        <f>IF(Detalhado!A7&lt;=$C$11, Detalhado!J7, "")</f>
        <v/>
      </c>
      <c r="I18" s="80" t="str">
        <f>IF(Detalhado!A7&lt;=$C$11, Detalhado!M7, "")</f>
        <v/>
      </c>
      <c r="J18" s="81" t="str">
        <f>IF(Detalhado!A7&lt;=$C$11, Detalhado!N7, "")</f>
        <v/>
      </c>
    </row>
    <row r="19">
      <c r="B19" s="69" t="str">
        <f>IF(Detalhado!A8&lt;=$C$11, Detalhado!A8, "")</f>
        <v/>
      </c>
      <c r="C19" s="70" t="str">
        <f>IF(Detalhado!A8&lt;=$C$11, Detalhado!C8, "")</f>
        <v/>
      </c>
      <c r="D19" s="70" t="str">
        <f>IF(Detalhado!A8&lt;=$C$11, Detalhado!D8, "")</f>
        <v/>
      </c>
      <c r="E19" s="71" t="str">
        <f>IF(Detalhado!A8&lt;=$C$11, Detalhado!E8, "")</f>
        <v/>
      </c>
      <c r="F19" s="72" t="str">
        <f>IF(Detalhado!A8&lt;=$C$11, Detalhado!G8, "")</f>
        <v/>
      </c>
      <c r="G19" s="73" t="str">
        <f>IF(Detalhado!A8&lt;=$C$11, Detalhado!H8, "")</f>
        <v/>
      </c>
      <c r="H19" s="73" t="str">
        <f>IF(Detalhado!A8&lt;=$C$11, Detalhado!J8, "")</f>
        <v/>
      </c>
      <c r="I19" s="73" t="str">
        <f>IF(Detalhado!A8&lt;=$C$11, Detalhado!M8, "")</f>
        <v/>
      </c>
      <c r="J19" s="75" t="str">
        <f>IF(Detalhado!A8&lt;=$C$11, Detalhado!N8, "")</f>
        <v/>
      </c>
    </row>
    <row r="20">
      <c r="B20" s="76" t="str">
        <f>IF(Detalhado!A9&lt;=$C$11, Detalhado!A9, "")</f>
        <v/>
      </c>
      <c r="C20" s="77" t="str">
        <f>IF(Detalhado!A9&lt;=$C$11, Detalhado!C9, "")</f>
        <v/>
      </c>
      <c r="D20" s="77" t="str">
        <f>IF(Detalhado!A9&lt;=$C$11, Detalhado!D9, "")</f>
        <v/>
      </c>
      <c r="E20" s="78" t="str">
        <f>IF(Detalhado!A9&lt;=$C$11, Detalhado!E9, "")</f>
        <v/>
      </c>
      <c r="F20" s="79" t="str">
        <f>IF(Detalhado!A9&lt;=$C$11, Detalhado!G9, "")</f>
        <v/>
      </c>
      <c r="G20" s="80" t="str">
        <f>IF(Detalhado!A9&lt;=$C$11, Detalhado!H9, "")</f>
        <v/>
      </c>
      <c r="H20" s="80" t="str">
        <f>IF(Detalhado!A9&lt;=$C$11, Detalhado!J9, "")</f>
        <v/>
      </c>
      <c r="I20" s="80" t="str">
        <f>IF(Detalhado!A9&lt;=$C$11, Detalhado!M9, "")</f>
        <v/>
      </c>
      <c r="J20" s="81" t="str">
        <f>IF(Detalhado!A9&lt;=$C$11, Detalhado!N9, "")</f>
        <v/>
      </c>
    </row>
    <row r="21">
      <c r="B21" s="69" t="str">
        <f>IF(Detalhado!A10&lt;=$C$11, Detalhado!A10, "")</f>
        <v/>
      </c>
      <c r="C21" s="70" t="str">
        <f>IF(Detalhado!A10&lt;=$C$11, Detalhado!C10, "")</f>
        <v/>
      </c>
      <c r="D21" s="70" t="str">
        <f>IF(Detalhado!A10&lt;=$C$11, Detalhado!D10, "")</f>
        <v/>
      </c>
      <c r="E21" s="71" t="str">
        <f>IF(Detalhado!A10&lt;=$C$11, Detalhado!E10, "")</f>
        <v/>
      </c>
      <c r="F21" s="72" t="str">
        <f>IF(Detalhado!A10&lt;=$C$11, Detalhado!G10, "")</f>
        <v/>
      </c>
      <c r="G21" s="73" t="str">
        <f>IF(Detalhado!A10&lt;=$C$11, Detalhado!H10, "")</f>
        <v/>
      </c>
      <c r="H21" s="73" t="str">
        <f>IF(Detalhado!A10&lt;=$C$11, Detalhado!J10, "")</f>
        <v/>
      </c>
      <c r="I21" s="73" t="str">
        <f>IF(Detalhado!A10&lt;=$C$11, Detalhado!M10, "")</f>
        <v/>
      </c>
      <c r="J21" s="75" t="str">
        <f>IF(Detalhado!A10&lt;=$C$11, Detalhado!N10, "")</f>
        <v/>
      </c>
    </row>
    <row r="22">
      <c r="B22" s="76" t="str">
        <f>IF(Detalhado!A11&lt;=$C$11, Detalhado!A11, "")</f>
        <v/>
      </c>
      <c r="C22" s="77" t="str">
        <f>IF(Detalhado!A11&lt;=$C$11, Detalhado!C11, "")</f>
        <v/>
      </c>
      <c r="D22" s="77" t="str">
        <f>IF(Detalhado!A11&lt;=$C$11, Detalhado!D11, "")</f>
        <v/>
      </c>
      <c r="E22" s="78" t="str">
        <f>IF(Detalhado!A11&lt;=$C$11, Detalhado!E11, "")</f>
        <v/>
      </c>
      <c r="F22" s="79" t="str">
        <f>IF(Detalhado!A11&lt;=$C$11, Detalhado!G11, "")</f>
        <v/>
      </c>
      <c r="G22" s="80" t="str">
        <f>IF(Detalhado!A11&lt;=$C$11, Detalhado!H11, "")</f>
        <v/>
      </c>
      <c r="H22" s="80" t="str">
        <f>IF(Detalhado!A11&lt;=$C$11, Detalhado!J11, "")</f>
        <v/>
      </c>
      <c r="I22" s="80" t="str">
        <f>IF(Detalhado!A11&lt;=$C$11, Detalhado!M11, "")</f>
        <v/>
      </c>
      <c r="J22" s="81" t="str">
        <f>IF(Detalhado!A11&lt;=$C$11, Detalhado!N11, "")</f>
        <v/>
      </c>
    </row>
    <row r="23">
      <c r="B23" s="69" t="str">
        <f>IF(Detalhado!A12&lt;=$C$11, Detalhado!A12, "")</f>
        <v/>
      </c>
      <c r="C23" s="70" t="str">
        <f>IF(Detalhado!A12&lt;=$C$11, Detalhado!C12, "")</f>
        <v/>
      </c>
      <c r="D23" s="70" t="str">
        <f>IF(Detalhado!A12&lt;=$C$11, Detalhado!D12, "")</f>
        <v/>
      </c>
      <c r="E23" s="71" t="str">
        <f>IF(Detalhado!A12&lt;=$C$11, Detalhado!E12, "")</f>
        <v/>
      </c>
      <c r="F23" s="72" t="str">
        <f>IF(Detalhado!A12&lt;=$C$11, Detalhado!G12, "")</f>
        <v/>
      </c>
      <c r="G23" s="73" t="str">
        <f>IF(Detalhado!A12&lt;=$C$11, Detalhado!H12, "")</f>
        <v/>
      </c>
      <c r="H23" s="73" t="str">
        <f>IF(Detalhado!A12&lt;=$C$11, Detalhado!J12, "")</f>
        <v/>
      </c>
      <c r="I23" s="73" t="str">
        <f>IF(Detalhado!A12&lt;=$C$11, Detalhado!M12, "")</f>
        <v/>
      </c>
      <c r="J23" s="75" t="str">
        <f>IF(Detalhado!A12&lt;=$C$11, Detalhado!N12, "")</f>
        <v/>
      </c>
    </row>
    <row r="24">
      <c r="B24" s="76" t="str">
        <f>IF(Detalhado!A13&lt;=$C$11, Detalhado!A13, "")</f>
        <v/>
      </c>
      <c r="C24" s="77" t="str">
        <f>IF(Detalhado!A13&lt;=$C$11, Detalhado!C13, "")</f>
        <v/>
      </c>
      <c r="D24" s="77" t="str">
        <f>IF(Detalhado!A13&lt;=$C$11, Detalhado!D13, "")</f>
        <v/>
      </c>
      <c r="E24" s="78" t="str">
        <f>IF(Detalhado!A13&lt;=$C$11, Detalhado!E13, "")</f>
        <v/>
      </c>
      <c r="F24" s="79" t="str">
        <f>IF(Detalhado!A13&lt;=$C$11, Detalhado!G13, "")</f>
        <v/>
      </c>
      <c r="G24" s="80" t="str">
        <f>IF(Detalhado!A13&lt;=$C$11, Detalhado!H13, "")</f>
        <v/>
      </c>
      <c r="H24" s="80" t="str">
        <f>IF(Detalhado!A13&lt;=$C$11, Detalhado!J13, "")</f>
        <v/>
      </c>
      <c r="I24" s="80" t="str">
        <f>IF(Detalhado!A13&lt;=$C$11, Detalhado!M13, "")</f>
        <v/>
      </c>
      <c r="J24" s="81" t="str">
        <f>IF(Detalhado!A13&lt;=$C$11, Detalhado!N13, "")</f>
        <v/>
      </c>
    </row>
    <row r="25">
      <c r="B25" s="69" t="str">
        <f>IF(Detalhado!A14&lt;=$C$11, Detalhado!A14, "")</f>
        <v/>
      </c>
      <c r="C25" s="70" t="str">
        <f>IF(Detalhado!A14&lt;=$C$11, Detalhado!C14, "")</f>
        <v/>
      </c>
      <c r="D25" s="70" t="str">
        <f>IF(Detalhado!A14&lt;=$C$11, Detalhado!D14, "")</f>
        <v/>
      </c>
      <c r="E25" s="71" t="str">
        <f>IF(Detalhado!A14&lt;=$C$11, Detalhado!E14, "")</f>
        <v/>
      </c>
      <c r="F25" s="72" t="str">
        <f>IF(Detalhado!A14&lt;=$C$11, Detalhado!G14, "")</f>
        <v/>
      </c>
      <c r="G25" s="73" t="str">
        <f>IF(Detalhado!A14&lt;=$C$11, Detalhado!H14, "")</f>
        <v/>
      </c>
      <c r="H25" s="73" t="str">
        <f>IF(Detalhado!A14&lt;=$C$11, Detalhado!J14, "")</f>
        <v/>
      </c>
      <c r="I25" s="73" t="str">
        <f>IF(Detalhado!A14&lt;=$C$11, Detalhado!M14, "")</f>
        <v/>
      </c>
      <c r="J25" s="75" t="str">
        <f>IF(Detalhado!A14&lt;=$C$11, Detalhado!N14, "")</f>
        <v/>
      </c>
    </row>
    <row r="26">
      <c r="B26" s="76" t="str">
        <f>IF(Detalhado!A15&lt;=$C$11, Detalhado!A15, "")</f>
        <v/>
      </c>
      <c r="C26" s="77" t="str">
        <f>IF(Detalhado!A15&lt;=$C$11, Detalhado!C15, "")</f>
        <v/>
      </c>
      <c r="D26" s="77" t="str">
        <f>IF(Detalhado!A15&lt;=$C$11, Detalhado!D15, "")</f>
        <v/>
      </c>
      <c r="E26" s="78" t="str">
        <f>IF(Detalhado!A15&lt;=$C$11, Detalhado!E15, "")</f>
        <v/>
      </c>
      <c r="F26" s="79" t="str">
        <f>IF(Detalhado!A15&lt;=$C$11, Detalhado!G15, "")</f>
        <v/>
      </c>
      <c r="G26" s="80" t="str">
        <f>IF(Detalhado!A15&lt;=$C$11, Detalhado!H15, "")</f>
        <v/>
      </c>
      <c r="H26" s="80" t="str">
        <f>IF(Detalhado!A15&lt;=$C$11, Detalhado!J15, "")</f>
        <v/>
      </c>
      <c r="I26" s="80" t="str">
        <f>IF(Detalhado!A15&lt;=$C$11, Detalhado!M15, "")</f>
        <v/>
      </c>
      <c r="J26" s="81" t="str">
        <f>IF(Detalhado!A15&lt;=$C$11, Detalhado!N15, "")</f>
        <v/>
      </c>
    </row>
    <row r="27">
      <c r="B27" s="69" t="str">
        <f>IF(Detalhado!A16&lt;=$C$11, Detalhado!A16, "")</f>
        <v/>
      </c>
      <c r="C27" s="70" t="str">
        <f>IF(Detalhado!A16&lt;=$C$11, Detalhado!C16, "")</f>
        <v/>
      </c>
      <c r="D27" s="70" t="str">
        <f>IF(Detalhado!A16&lt;=$C$11, Detalhado!D16, "")</f>
        <v/>
      </c>
      <c r="E27" s="71" t="str">
        <f>IF(Detalhado!A16&lt;=$C$11, Detalhado!E16, "")</f>
        <v/>
      </c>
      <c r="F27" s="72" t="str">
        <f>IF(Detalhado!A16&lt;=$C$11, Detalhado!G16, "")</f>
        <v/>
      </c>
      <c r="G27" s="73" t="str">
        <f>IF(Detalhado!A16&lt;=$C$11, Detalhado!H16, "")</f>
        <v/>
      </c>
      <c r="H27" s="73" t="str">
        <f>IF(Detalhado!A16&lt;=$C$11, Detalhado!J16, "")</f>
        <v/>
      </c>
      <c r="I27" s="73" t="str">
        <f>IF(Detalhado!A16&lt;=$C$11, Detalhado!M16, "")</f>
        <v/>
      </c>
      <c r="J27" s="75" t="str">
        <f>IF(Detalhado!A16&lt;=$C$11, Detalhado!N16, "")</f>
        <v/>
      </c>
    </row>
    <row r="28">
      <c r="B28" s="76" t="str">
        <f>IF(Detalhado!A17&lt;=$C$11, Detalhado!A17, "")</f>
        <v/>
      </c>
      <c r="C28" s="77" t="str">
        <f>IF(Detalhado!A17&lt;=$C$11, Detalhado!C17, "")</f>
        <v/>
      </c>
      <c r="D28" s="77" t="str">
        <f>IF(Detalhado!A17&lt;=$C$11, Detalhado!D17, "")</f>
        <v/>
      </c>
      <c r="E28" s="78" t="str">
        <f>IF(Detalhado!A17&lt;=$C$11, Detalhado!E17, "")</f>
        <v/>
      </c>
      <c r="F28" s="79" t="str">
        <f>IF(Detalhado!A17&lt;=$C$11, Detalhado!G17, "")</f>
        <v/>
      </c>
      <c r="G28" s="80" t="str">
        <f>IF(Detalhado!A17&lt;=$C$11, Detalhado!H17, "")</f>
        <v/>
      </c>
      <c r="H28" s="80" t="str">
        <f>IF(Detalhado!A17&lt;=$C$11, Detalhado!J17, "")</f>
        <v/>
      </c>
      <c r="I28" s="80" t="str">
        <f>IF(Detalhado!A17&lt;=$C$11, Detalhado!M17, "")</f>
        <v/>
      </c>
      <c r="J28" s="81" t="str">
        <f>IF(Detalhado!A17&lt;=$C$11, Detalhado!N17, "")</f>
        <v/>
      </c>
    </row>
    <row r="29">
      <c r="B29" s="69" t="str">
        <f>IF(Detalhado!A18&lt;=$C$11, Detalhado!A18, "")</f>
        <v/>
      </c>
      <c r="C29" s="70" t="str">
        <f>IF(Detalhado!A18&lt;=$C$11, Detalhado!C18, "")</f>
        <v/>
      </c>
      <c r="D29" s="70" t="str">
        <f>IF(Detalhado!A18&lt;=$C$11, Detalhado!D18, "")</f>
        <v/>
      </c>
      <c r="E29" s="71" t="str">
        <f>IF(Detalhado!A18&lt;=$C$11, Detalhado!E18, "")</f>
        <v/>
      </c>
      <c r="F29" s="72" t="str">
        <f>IF(Detalhado!A18&lt;=$C$11, Detalhado!G18, "")</f>
        <v/>
      </c>
      <c r="G29" s="73" t="str">
        <f>IF(Detalhado!A18&lt;=$C$11, Detalhado!H18, "")</f>
        <v/>
      </c>
      <c r="H29" s="73" t="str">
        <f>IF(Detalhado!A18&lt;=$C$11, Detalhado!J18, "")</f>
        <v/>
      </c>
      <c r="I29" s="73" t="str">
        <f>IF(Detalhado!A18&lt;=$C$11, Detalhado!M18, "")</f>
        <v/>
      </c>
      <c r="J29" s="75" t="str">
        <f>IF(Detalhado!A18&lt;=$C$11, Detalhado!N18, "")</f>
        <v/>
      </c>
    </row>
    <row r="30">
      <c r="B30" s="76" t="str">
        <f>IF(Detalhado!A19&lt;=$C$11, Detalhado!A19, "")</f>
        <v/>
      </c>
      <c r="C30" s="77" t="str">
        <f>IF(Detalhado!A19&lt;=$C$11, Detalhado!C19, "")</f>
        <v/>
      </c>
      <c r="D30" s="77" t="str">
        <f>IF(Detalhado!A19&lt;=$C$11, Detalhado!D19, "")</f>
        <v/>
      </c>
      <c r="E30" s="78" t="str">
        <f>IF(Detalhado!A19&lt;=$C$11, Detalhado!E19, "")</f>
        <v/>
      </c>
      <c r="F30" s="79" t="str">
        <f>IF(Detalhado!A19&lt;=$C$11, Detalhado!G19, "")</f>
        <v/>
      </c>
      <c r="G30" s="80" t="str">
        <f>IF(Detalhado!A19&lt;=$C$11, Detalhado!H19, "")</f>
        <v/>
      </c>
      <c r="H30" s="80" t="str">
        <f>IF(Detalhado!A19&lt;=$C$11, Detalhado!J19, "")</f>
        <v/>
      </c>
      <c r="I30" s="80" t="str">
        <f>IF(Detalhado!A19&lt;=$C$11, Detalhado!M19, "")</f>
        <v/>
      </c>
      <c r="J30" s="81" t="str">
        <f>IF(Detalhado!A19&lt;=$C$11, Detalhado!N19, "")</f>
        <v/>
      </c>
    </row>
    <row r="31">
      <c r="B31" s="69" t="str">
        <f>IF(Detalhado!A20&lt;=$C$11, Detalhado!A20, "")</f>
        <v/>
      </c>
      <c r="C31" s="70" t="str">
        <f>IF(Detalhado!A20&lt;=$C$11, Detalhado!C20, "")</f>
        <v/>
      </c>
      <c r="D31" s="70" t="str">
        <f>IF(Detalhado!A20&lt;=$C$11, Detalhado!D20, "")</f>
        <v/>
      </c>
      <c r="E31" s="71" t="str">
        <f>IF(Detalhado!A20&lt;=$C$11, Detalhado!E20, "")</f>
        <v/>
      </c>
      <c r="F31" s="72" t="str">
        <f>IF(Detalhado!A20&lt;=$C$11, Detalhado!G20, "")</f>
        <v/>
      </c>
      <c r="G31" s="73" t="str">
        <f>IF(Detalhado!A20&lt;=$C$11, Detalhado!H20, "")</f>
        <v/>
      </c>
      <c r="H31" s="73" t="str">
        <f>IF(Detalhado!A20&lt;=$C$11, Detalhado!J20, "")</f>
        <v/>
      </c>
      <c r="I31" s="73" t="str">
        <f>IF(Detalhado!A20&lt;=$C$11, Detalhado!M20, "")</f>
        <v/>
      </c>
      <c r="J31" s="75" t="str">
        <f>IF(Detalhado!A20&lt;=$C$11, Detalhado!N20, "")</f>
        <v/>
      </c>
    </row>
    <row r="32">
      <c r="B32" s="76" t="str">
        <f>IF(Detalhado!A21&lt;=$C$11, Detalhado!A21, "")</f>
        <v/>
      </c>
      <c r="C32" s="77" t="str">
        <f>IF(Detalhado!A21&lt;=$C$11, Detalhado!C21, "")</f>
        <v/>
      </c>
      <c r="D32" s="77" t="str">
        <f>IF(Detalhado!A21&lt;=$C$11, Detalhado!D21, "")</f>
        <v/>
      </c>
      <c r="E32" s="78" t="str">
        <f>IF(Detalhado!A21&lt;=$C$11, Detalhado!E21, "")</f>
        <v/>
      </c>
      <c r="F32" s="79" t="str">
        <f>IF(Detalhado!A21&lt;=$C$11, Detalhado!G21, "")</f>
        <v/>
      </c>
      <c r="G32" s="80" t="str">
        <f>IF(Detalhado!A21&lt;=$C$11, Detalhado!H21, "")</f>
        <v/>
      </c>
      <c r="H32" s="80" t="str">
        <f>IF(Detalhado!A21&lt;=$C$11, Detalhado!J21, "")</f>
        <v/>
      </c>
      <c r="I32" s="80" t="str">
        <f>IF(Detalhado!A21&lt;=$C$11, Detalhado!M21, "")</f>
        <v/>
      </c>
      <c r="J32" s="81" t="str">
        <f>IF(Detalhado!A21&lt;=$C$11, Detalhado!N21, "")</f>
        <v/>
      </c>
    </row>
    <row r="33">
      <c r="B33" s="82" t="s">
        <v>47</v>
      </c>
      <c r="C33" s="83"/>
      <c r="D33" s="83"/>
      <c r="E33" s="83"/>
      <c r="F33" s="84"/>
      <c r="G33" s="85">
        <f t="shared" ref="G33:J33" si="1">SUM(G15:G32)</f>
        <v>658</v>
      </c>
      <c r="H33" s="85">
        <f t="shared" si="1"/>
        <v>14.41</v>
      </c>
      <c r="I33" s="85">
        <f t="shared" si="1"/>
        <v>20.27</v>
      </c>
      <c r="J33" s="86">
        <f t="shared" si="1"/>
        <v>623.32</v>
      </c>
    </row>
  </sheetData>
  <mergeCells count="21">
    <mergeCell ref="B5:C5"/>
    <mergeCell ref="E5:F5"/>
    <mergeCell ref="G5:H5"/>
    <mergeCell ref="I5:J5"/>
    <mergeCell ref="E6:F6"/>
    <mergeCell ref="G6:H6"/>
    <mergeCell ref="I6:J6"/>
    <mergeCell ref="G10:H10"/>
    <mergeCell ref="I10:J10"/>
    <mergeCell ref="E11:F11"/>
    <mergeCell ref="G11:H11"/>
    <mergeCell ref="I11:J11"/>
    <mergeCell ref="B13:J13"/>
    <mergeCell ref="B33:F33"/>
    <mergeCell ref="E7:F7"/>
    <mergeCell ref="G7:H7"/>
    <mergeCell ref="I7:J7"/>
    <mergeCell ref="E9:F9"/>
    <mergeCell ref="G9:H9"/>
    <mergeCell ref="I9:J9"/>
    <mergeCell ref="E10:F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0.75"/>
    <col customWidth="1" min="3" max="3" width="17.0"/>
    <col customWidth="1" min="4" max="4" width="16.38"/>
    <col customWidth="1" min="5" max="6" width="12.63"/>
    <col customWidth="1" min="7" max="8" width="15.75"/>
    <col customWidth="1" min="9" max="9" width="17.0"/>
    <col customWidth="1" min="10" max="10" width="18.25"/>
  </cols>
  <sheetData>
    <row r="2">
      <c r="B2" s="1" t="s">
        <v>0</v>
      </c>
      <c r="C2" s="3"/>
      <c r="D2" s="3"/>
      <c r="E2" s="3"/>
      <c r="F2" s="3"/>
      <c r="G2" s="3"/>
      <c r="H2" s="3"/>
      <c r="I2" s="3"/>
      <c r="J2" s="3"/>
    </row>
    <row r="3">
      <c r="B3" s="5" t="s">
        <v>2</v>
      </c>
      <c r="C3" s="6"/>
      <c r="D3" s="6"/>
      <c r="E3" s="6"/>
      <c r="F3" s="6"/>
      <c r="G3" s="6"/>
      <c r="H3" s="6"/>
      <c r="I3" s="6"/>
      <c r="J3" s="6"/>
    </row>
    <row r="5">
      <c r="B5" s="7" t="s">
        <v>4</v>
      </c>
      <c r="C5" s="9"/>
      <c r="E5" s="12" t="s">
        <v>7</v>
      </c>
      <c r="F5" s="13"/>
      <c r="G5" s="12" t="s">
        <v>8</v>
      </c>
      <c r="H5" s="13"/>
      <c r="I5" s="15" t="s">
        <v>9</v>
      </c>
      <c r="J5" s="17"/>
    </row>
    <row r="6">
      <c r="B6" s="19" t="s">
        <v>12</v>
      </c>
      <c r="C6" s="21">
        <v>46315.0</v>
      </c>
      <c r="E6" s="24">
        <f>Detalhado!U32</f>
        <v>658</v>
      </c>
      <c r="F6" s="25"/>
      <c r="G6" s="28">
        <f>SUMPRODUCT((Detalhado!P4:P21&lt;=C11)*(Detalhado!Z4:Z21 + Detalhado!AC4:AC21))</f>
        <v>34.68</v>
      </c>
      <c r="H6" s="25"/>
      <c r="I6" s="30">
        <f>SUMPRODUCT((Detalhado!P4:P21&lt;=C11)*(Detalhado!AD4:AD21))</f>
        <v>623.32</v>
      </c>
      <c r="J6" s="31"/>
    </row>
    <row r="7">
      <c r="B7" s="19" t="s">
        <v>26</v>
      </c>
      <c r="C7" s="21">
        <v>46316.0</v>
      </c>
      <c r="E7" s="34" t="str">
        <f>C11 &amp; " parcelas de " &amp; TEXT(Detalhado!U34, "R$ #,##0.00")</f>
        <v>2 parcelas de R$ 329,00</v>
      </c>
      <c r="F7" s="36"/>
      <c r="G7" s="34" t="str">
        <f>IF(E6&gt;0, "MDR: " &amp; TEXT(SUMPRODUCT((Detalhado!P4:P21&lt;=C11)*(Detalhado!Z4:Z21)), "R$ #,##0.00") &amp; " | Antec: " &amp; TEXT(SUMPRODUCT((Detalhado!P4:P21&lt;=C11)*(Detalhado!AC4:AC21)), "R$ #,##0.00"), "")</f>
        <v>MDR: R$ 14,41 | Antec: R$ 20,27</v>
      </c>
      <c r="H7" s="36"/>
      <c r="I7" s="40" t="str">
        <f>IF(E6&gt;0, "Recebimento líq. de " &amp; ROUND((I6/E6)*100, 2) &amp; "% do total", "")</f>
        <v>Recebimento líq. de 94,73% do total</v>
      </c>
      <c r="J7" s="42"/>
    </row>
    <row r="8">
      <c r="B8" s="19" t="s">
        <v>27</v>
      </c>
      <c r="C8" s="43">
        <v>0.021</v>
      </c>
    </row>
    <row r="9">
      <c r="B9" s="19" t="s">
        <v>28</v>
      </c>
      <c r="C9" s="43">
        <v>0.0219</v>
      </c>
      <c r="E9" s="45" t="s">
        <v>29</v>
      </c>
      <c r="F9" s="13"/>
      <c r="G9" s="45" t="s">
        <v>30</v>
      </c>
      <c r="H9" s="13"/>
      <c r="I9" s="45" t="s">
        <v>31</v>
      </c>
      <c r="J9" s="13"/>
    </row>
    <row r="10">
      <c r="B10" s="19" t="s">
        <v>35</v>
      </c>
      <c r="C10" s="47">
        <v>623.32</v>
      </c>
      <c r="E10" s="64" t="str">
        <f>"1ª " &amp; TEXT(Detalhado!U33, "R$ #,##0.00") &amp; " | Demais " &amp; TEXT(Detalhado!U34, "R$ #,##0.00")</f>
        <v>1ª R$ 329,00 | Demais R$ 329,00</v>
      </c>
      <c r="F10" s="25"/>
      <c r="G10" s="51" t="str">
        <f>IF(E6&gt;0, ROUND((G6/E6)*100, 2) &amp; "%", "0.00%")</f>
        <v>5,27%</v>
      </c>
      <c r="H10" s="25"/>
      <c r="I10" s="53">
        <f>C7</f>
        <v>46316</v>
      </c>
      <c r="J10" s="25"/>
    </row>
    <row r="11">
      <c r="B11" s="54" t="s">
        <v>33</v>
      </c>
      <c r="C11" s="55">
        <v>2.0</v>
      </c>
      <c r="E11" s="57" t="s">
        <v>34</v>
      </c>
      <c r="F11" s="36"/>
      <c r="G11" s="59" t="str">
        <f>"Taxa MDR: " &amp; TEXT(C9, "0.00%") &amp; " | Antecipação: " &amp; TEXT(C8, "0.00%")</f>
        <v>Taxa MDR: 2,19% | Antecipação: 2,10%</v>
      </c>
      <c r="H11" s="36"/>
      <c r="I11" s="61" t="s">
        <v>36</v>
      </c>
      <c r="J11" s="36"/>
    </row>
    <row r="13">
      <c r="B13" s="62" t="s">
        <v>37</v>
      </c>
    </row>
    <row r="14">
      <c r="B14" s="63" t="s">
        <v>38</v>
      </c>
      <c r="C14" s="65" t="s">
        <v>39</v>
      </c>
      <c r="D14" s="65" t="s">
        <v>40</v>
      </c>
      <c r="E14" s="65" t="s">
        <v>41</v>
      </c>
      <c r="F14" s="66" t="s">
        <v>42</v>
      </c>
      <c r="G14" s="66" t="s">
        <v>43</v>
      </c>
      <c r="H14" s="66" t="s">
        <v>44</v>
      </c>
      <c r="I14" s="66" t="s">
        <v>45</v>
      </c>
      <c r="J14" s="67" t="s">
        <v>46</v>
      </c>
    </row>
    <row r="15">
      <c r="B15" s="69">
        <f>IF(Detalhado!P4&lt;=$C$11, Detalhado!P4, "")</f>
        <v>1</v>
      </c>
      <c r="C15" s="70">
        <f>IF(Detalhado!P4&lt;=$C$11, Detalhado!R4, "")</f>
        <v>46345</v>
      </c>
      <c r="D15" s="70">
        <f>IF(Detalhado!P4&lt;=$C$11, Detalhado!S4, "")</f>
        <v>46316</v>
      </c>
      <c r="E15" s="71">
        <f>IF(Detalhado!P4&lt;=$C$11, Detalhado!T4, "")</f>
        <v>29</v>
      </c>
      <c r="F15" s="72">
        <f>IF(Detalhado!P4&lt;=$C$11, Detalhado!V4, "")</f>
        <v>0.0203</v>
      </c>
      <c r="G15" s="73">
        <f>IF(Detalhado!P4&lt;=$C$11, Detalhado!X4, "")</f>
        <v>329</v>
      </c>
      <c r="H15" s="73">
        <f>IF(Detalhado!P4&lt;=$C$11, Detalhado!Z4, "")</f>
        <v>7.21</v>
      </c>
      <c r="I15" s="73">
        <f>IF(Detalhado!P4&lt;=$C$11, Detalhado!AC4, "")</f>
        <v>6.53</v>
      </c>
      <c r="J15" s="75">
        <f>IF(Detalhado!P4&lt;=$C$11, Detalhado!AD4, "")</f>
        <v>315.26</v>
      </c>
    </row>
    <row r="16">
      <c r="B16" s="76">
        <f>IF(Detalhado!P5&lt;=$C$11, Detalhado!P5, "")</f>
        <v>2</v>
      </c>
      <c r="C16" s="77">
        <f>IF(Detalhado!P5&lt;=$C$11, Detalhado!R5, "")</f>
        <v>46377</v>
      </c>
      <c r="D16" s="77">
        <f>IF(Detalhado!P5&lt;=$C$11, Detalhado!S5, "")</f>
        <v>46316</v>
      </c>
      <c r="E16" s="78">
        <f>IF(Detalhado!P5&lt;=$C$11, Detalhado!T5, "")</f>
        <v>61</v>
      </c>
      <c r="F16" s="79">
        <f>IF(Detalhado!P5&lt;=$C$11, Detalhado!V5, "")</f>
        <v>0.0427</v>
      </c>
      <c r="G16" s="80">
        <f>IF(Detalhado!P5&lt;=$C$11, Detalhado!X5, "")</f>
        <v>329</v>
      </c>
      <c r="H16" s="80">
        <f>IF(Detalhado!P5&lt;=$C$11, Detalhado!Z5, "")</f>
        <v>7.2</v>
      </c>
      <c r="I16" s="80">
        <f>IF(Detalhado!P5&lt;=$C$11, Detalhado!AC5, "")</f>
        <v>13.74</v>
      </c>
      <c r="J16" s="81">
        <f>IF(Detalhado!P5&lt;=$C$11, Detalhado!AD5, "")</f>
        <v>308.06</v>
      </c>
    </row>
    <row r="17">
      <c r="B17" s="69" t="str">
        <f>IF(Detalhado!P6&lt;=$C$11, Detalhado!P6, "")</f>
        <v/>
      </c>
      <c r="C17" s="70" t="str">
        <f>IF(Detalhado!P6&lt;=$C$11, Detalhado!R6, "")</f>
        <v/>
      </c>
      <c r="D17" s="70" t="str">
        <f>IF(Detalhado!P6&lt;=$C$11, Detalhado!S6, "")</f>
        <v/>
      </c>
      <c r="E17" s="71" t="str">
        <f>IF(Detalhado!P6&lt;=$C$11, Detalhado!T6, "")</f>
        <v/>
      </c>
      <c r="F17" s="72" t="str">
        <f>IF(Detalhado!P6&lt;=$C$11, Detalhado!V6, "")</f>
        <v/>
      </c>
      <c r="G17" s="73" t="str">
        <f>IF(Detalhado!P6&lt;=$C$11, Detalhado!X6, "")</f>
        <v/>
      </c>
      <c r="H17" s="73" t="str">
        <f>IF(Detalhado!P6&lt;=$C$11, Detalhado!Z6, "")</f>
        <v/>
      </c>
      <c r="I17" s="73" t="str">
        <f>IF(Detalhado!P6&lt;=$C$11, Detalhado!AC6, "")</f>
        <v/>
      </c>
      <c r="J17" s="75" t="str">
        <f>IF(Detalhado!P6&lt;=$C$11, Detalhado!AD6, "")</f>
        <v/>
      </c>
    </row>
    <row r="18">
      <c r="B18" s="76" t="str">
        <f>IF(Detalhado!P7&lt;=$C$11, Detalhado!P7, "")</f>
        <v/>
      </c>
      <c r="C18" s="77" t="str">
        <f>IF(Detalhado!P7&lt;=$C$11, Detalhado!R7, "")</f>
        <v/>
      </c>
      <c r="D18" s="77" t="str">
        <f>IF(Detalhado!P7&lt;=$C$11, Detalhado!S7, "")</f>
        <v/>
      </c>
      <c r="E18" s="78" t="str">
        <f>IF(Detalhado!P7&lt;=$C$11, Detalhado!T7, "")</f>
        <v/>
      </c>
      <c r="F18" s="79" t="str">
        <f>IF(Detalhado!P7&lt;=$C$11, Detalhado!V7, "")</f>
        <v/>
      </c>
      <c r="G18" s="80" t="str">
        <f>IF(Detalhado!P7&lt;=$C$11, Detalhado!X7, "")</f>
        <v/>
      </c>
      <c r="H18" s="80" t="str">
        <f>IF(Detalhado!P7&lt;=$C$11, Detalhado!Z7, "")</f>
        <v/>
      </c>
      <c r="I18" s="80" t="str">
        <f>IF(Detalhado!P7&lt;=$C$11, Detalhado!AC7, "")</f>
        <v/>
      </c>
      <c r="J18" s="81" t="str">
        <f>IF(Detalhado!P7&lt;=$C$11, Detalhado!AD7, "")</f>
        <v/>
      </c>
    </row>
    <row r="19">
      <c r="B19" s="69" t="str">
        <f>IF(Detalhado!P8&lt;=$C$11, Detalhado!P8, "")</f>
        <v/>
      </c>
      <c r="C19" s="70" t="str">
        <f>IF(Detalhado!P8&lt;=$C$11, Detalhado!R8, "")</f>
        <v/>
      </c>
      <c r="D19" s="70" t="str">
        <f>IF(Detalhado!P8&lt;=$C$11, Detalhado!S8, "")</f>
        <v/>
      </c>
      <c r="E19" s="71" t="str">
        <f>IF(Detalhado!P8&lt;=$C$11, Detalhado!T8, "")</f>
        <v/>
      </c>
      <c r="F19" s="72" t="str">
        <f>IF(Detalhado!P8&lt;=$C$11, Detalhado!V8, "")</f>
        <v/>
      </c>
      <c r="G19" s="73" t="str">
        <f>IF(Detalhado!P8&lt;=$C$11, Detalhado!X8, "")</f>
        <v/>
      </c>
      <c r="H19" s="73" t="str">
        <f>IF(Detalhado!P8&lt;=$C$11, Detalhado!Z8, "")</f>
        <v/>
      </c>
      <c r="I19" s="73" t="str">
        <f>IF(Detalhado!P8&lt;=$C$11, Detalhado!AC8, "")</f>
        <v/>
      </c>
      <c r="J19" s="75" t="str">
        <f>IF(Detalhado!P8&lt;=$C$11, Detalhado!AD8, "")</f>
        <v/>
      </c>
    </row>
    <row r="20">
      <c r="B20" s="76" t="str">
        <f>IF(Detalhado!P9&lt;=$C$11, Detalhado!P9, "")</f>
        <v/>
      </c>
      <c r="C20" s="77" t="str">
        <f>IF(Detalhado!P9&lt;=$C$11, Detalhado!R9, "")</f>
        <v/>
      </c>
      <c r="D20" s="77" t="str">
        <f>IF(Detalhado!P9&lt;=$C$11, Detalhado!S9, "")</f>
        <v/>
      </c>
      <c r="E20" s="78" t="str">
        <f>IF(Detalhado!P9&lt;=$C$11, Detalhado!T9, "")</f>
        <v/>
      </c>
      <c r="F20" s="79" t="str">
        <f>IF(Detalhado!P9&lt;=$C$11, Detalhado!V9, "")</f>
        <v/>
      </c>
      <c r="G20" s="80" t="str">
        <f>IF(Detalhado!P9&lt;=$C$11, Detalhado!X9, "")</f>
        <v/>
      </c>
      <c r="H20" s="80" t="str">
        <f>IF(Detalhado!P9&lt;=$C$11, Detalhado!Z9, "")</f>
        <v/>
      </c>
      <c r="I20" s="80" t="str">
        <f>IF(Detalhado!P9&lt;=$C$11, Detalhado!AC9, "")</f>
        <v/>
      </c>
      <c r="J20" s="81" t="str">
        <f>IF(Detalhado!P9&lt;=$C$11, Detalhado!AD9, "")</f>
        <v/>
      </c>
    </row>
    <row r="21">
      <c r="B21" s="69" t="str">
        <f>IF(Detalhado!P10&lt;=$C$11, Detalhado!P10, "")</f>
        <v/>
      </c>
      <c r="C21" s="70" t="str">
        <f>IF(Detalhado!P10&lt;=$C$11, Detalhado!R10, "")</f>
        <v/>
      </c>
      <c r="D21" s="70" t="str">
        <f>IF(Detalhado!P10&lt;=$C$11, Detalhado!S10, "")</f>
        <v/>
      </c>
      <c r="E21" s="71" t="str">
        <f>IF(Detalhado!P10&lt;=$C$11, Detalhado!T10, "")</f>
        <v/>
      </c>
      <c r="F21" s="72" t="str">
        <f>IF(Detalhado!P10&lt;=$C$11, Detalhado!V10, "")</f>
        <v/>
      </c>
      <c r="G21" s="73" t="str">
        <f>IF(Detalhado!P10&lt;=$C$11, Detalhado!X10, "")</f>
        <v/>
      </c>
      <c r="H21" s="73" t="str">
        <f>IF(Detalhado!P10&lt;=$C$11, Detalhado!Z10, "")</f>
        <v/>
      </c>
      <c r="I21" s="73" t="str">
        <f>IF(Detalhado!P10&lt;=$C$11, Detalhado!AC10, "")</f>
        <v/>
      </c>
      <c r="J21" s="75" t="str">
        <f>IF(Detalhado!P10&lt;=$C$11, Detalhado!AD10, "")</f>
        <v/>
      </c>
    </row>
    <row r="22">
      <c r="B22" s="76" t="str">
        <f>IF(Detalhado!P11&lt;=$C$11, Detalhado!P11, "")</f>
        <v/>
      </c>
      <c r="C22" s="77" t="str">
        <f>IF(Detalhado!P11&lt;=$C$11, Detalhado!R11, "")</f>
        <v/>
      </c>
      <c r="D22" s="77" t="str">
        <f>IF(Detalhado!P11&lt;=$C$11, Detalhado!S11, "")</f>
        <v/>
      </c>
      <c r="E22" s="78" t="str">
        <f>IF(Detalhado!P11&lt;=$C$11, Detalhado!T11, "")</f>
        <v/>
      </c>
      <c r="F22" s="79" t="str">
        <f>IF(Detalhado!P11&lt;=$C$11, Detalhado!V11, "")</f>
        <v/>
      </c>
      <c r="G22" s="80" t="str">
        <f>IF(Detalhado!P11&lt;=$C$11, Detalhado!X11, "")</f>
        <v/>
      </c>
      <c r="H22" s="80" t="str">
        <f>IF(Detalhado!P11&lt;=$C$11, Detalhado!Z11, "")</f>
        <v/>
      </c>
      <c r="I22" s="80" t="str">
        <f>IF(Detalhado!P11&lt;=$C$11, Detalhado!AC11, "")</f>
        <v/>
      </c>
      <c r="J22" s="81" t="str">
        <f>IF(Detalhado!P11&lt;=$C$11, Detalhado!AD11, "")</f>
        <v/>
      </c>
    </row>
    <row r="23">
      <c r="B23" s="69" t="str">
        <f>IF(Detalhado!P12&lt;=$C$11, Detalhado!P12, "")</f>
        <v/>
      </c>
      <c r="C23" s="70" t="str">
        <f>IF(Detalhado!P12&lt;=$C$11, Detalhado!R12, "")</f>
        <v/>
      </c>
      <c r="D23" s="70" t="str">
        <f>IF(Detalhado!P12&lt;=$C$11, Detalhado!S12, "")</f>
        <v/>
      </c>
      <c r="E23" s="71" t="str">
        <f>IF(Detalhado!P12&lt;=$C$11, Detalhado!T12, "")</f>
        <v/>
      </c>
      <c r="F23" s="72" t="str">
        <f>IF(Detalhado!P12&lt;=$C$11, Detalhado!V12, "")</f>
        <v/>
      </c>
      <c r="G23" s="73" t="str">
        <f>IF(Detalhado!P12&lt;=$C$11, Detalhado!X12, "")</f>
        <v/>
      </c>
      <c r="H23" s="73" t="str">
        <f>IF(Detalhado!P12&lt;=$C$11, Detalhado!Z12, "")</f>
        <v/>
      </c>
      <c r="I23" s="73" t="str">
        <f>IF(Detalhado!P12&lt;=$C$11, Detalhado!AC12, "")</f>
        <v/>
      </c>
      <c r="J23" s="75" t="str">
        <f>IF(Detalhado!P12&lt;=$C$11, Detalhado!AD12, "")</f>
        <v/>
      </c>
    </row>
    <row r="24">
      <c r="B24" s="76" t="str">
        <f>IF(Detalhado!P13&lt;=$C$11, Detalhado!P13, "")</f>
        <v/>
      </c>
      <c r="C24" s="77" t="str">
        <f>IF(Detalhado!P13&lt;=$C$11, Detalhado!R13, "")</f>
        <v/>
      </c>
      <c r="D24" s="77" t="str">
        <f>IF(Detalhado!P13&lt;=$C$11, Detalhado!S13, "")</f>
        <v/>
      </c>
      <c r="E24" s="78" t="str">
        <f>IF(Detalhado!P13&lt;=$C$11, Detalhado!T13, "")</f>
        <v/>
      </c>
      <c r="F24" s="79" t="str">
        <f>IF(Detalhado!P13&lt;=$C$11, Detalhado!V13, "")</f>
        <v/>
      </c>
      <c r="G24" s="80" t="str">
        <f>IF(Detalhado!P13&lt;=$C$11, Detalhado!X13, "")</f>
        <v/>
      </c>
      <c r="H24" s="80" t="str">
        <f>IF(Detalhado!P13&lt;=$C$11, Detalhado!Z13, "")</f>
        <v/>
      </c>
      <c r="I24" s="80" t="str">
        <f>IF(Detalhado!P13&lt;=$C$11, Detalhado!AC13, "")</f>
        <v/>
      </c>
      <c r="J24" s="81" t="str">
        <f>IF(Detalhado!P13&lt;=$C$11, Detalhado!AD13, "")</f>
        <v/>
      </c>
    </row>
    <row r="25">
      <c r="B25" s="69" t="str">
        <f>IF(Detalhado!P14&lt;=$C$11, Detalhado!P14, "")</f>
        <v/>
      </c>
      <c r="C25" s="70" t="str">
        <f>IF(Detalhado!P14&lt;=$C$11, Detalhado!R14, "")</f>
        <v/>
      </c>
      <c r="D25" s="70" t="str">
        <f>IF(Detalhado!P14&lt;=$C$11, Detalhado!S14, "")</f>
        <v/>
      </c>
      <c r="E25" s="71" t="str">
        <f>IF(Detalhado!P14&lt;=$C$11, Detalhado!T14, "")</f>
        <v/>
      </c>
      <c r="F25" s="72" t="str">
        <f>IF(Detalhado!P14&lt;=$C$11, Detalhado!V14, "")</f>
        <v/>
      </c>
      <c r="G25" s="73" t="str">
        <f>IF(Detalhado!P14&lt;=$C$11, Detalhado!X14, "")</f>
        <v/>
      </c>
      <c r="H25" s="73" t="str">
        <f>IF(Detalhado!P14&lt;=$C$11, Detalhado!Z14, "")</f>
        <v/>
      </c>
      <c r="I25" s="73" t="str">
        <f>IF(Detalhado!P14&lt;=$C$11, Detalhado!AC14, "")</f>
        <v/>
      </c>
      <c r="J25" s="75" t="str">
        <f>IF(Detalhado!P14&lt;=$C$11, Detalhado!AD14, "")</f>
        <v/>
      </c>
    </row>
    <row r="26">
      <c r="B26" s="76" t="str">
        <f>IF(Detalhado!P15&lt;=$C$11, Detalhado!P15, "")</f>
        <v/>
      </c>
      <c r="C26" s="77" t="str">
        <f>IF(Detalhado!P15&lt;=$C$11, Detalhado!R15, "")</f>
        <v/>
      </c>
      <c r="D26" s="77" t="str">
        <f>IF(Detalhado!P15&lt;=$C$11, Detalhado!S15, "")</f>
        <v/>
      </c>
      <c r="E26" s="78" t="str">
        <f>IF(Detalhado!P15&lt;=$C$11, Detalhado!T15, "")</f>
        <v/>
      </c>
      <c r="F26" s="79" t="str">
        <f>IF(Detalhado!P15&lt;=$C$11, Detalhado!V15, "")</f>
        <v/>
      </c>
      <c r="G26" s="80" t="str">
        <f>IF(Detalhado!P15&lt;=$C$11, Detalhado!X15, "")</f>
        <v/>
      </c>
      <c r="H26" s="80" t="str">
        <f>IF(Detalhado!P15&lt;=$C$11, Detalhado!Z15, "")</f>
        <v/>
      </c>
      <c r="I26" s="80" t="str">
        <f>IF(Detalhado!P15&lt;=$C$11, Detalhado!AC15, "")</f>
        <v/>
      </c>
      <c r="J26" s="81" t="str">
        <f>IF(Detalhado!P15&lt;=$C$11, Detalhado!AD15, "")</f>
        <v/>
      </c>
    </row>
    <row r="27">
      <c r="B27" s="69" t="str">
        <f>IF(Detalhado!P16&lt;=$C$11, Detalhado!P16, "")</f>
        <v/>
      </c>
      <c r="C27" s="70" t="str">
        <f>IF(Detalhado!P16&lt;=$C$11, Detalhado!R16, "")</f>
        <v/>
      </c>
      <c r="D27" s="70" t="str">
        <f>IF(Detalhado!P16&lt;=$C$11, Detalhado!S16, "")</f>
        <v/>
      </c>
      <c r="E27" s="71" t="str">
        <f>IF(Detalhado!P16&lt;=$C$11, Detalhado!T16, "")</f>
        <v/>
      </c>
      <c r="F27" s="72" t="str">
        <f>IF(Detalhado!P16&lt;=$C$11, Detalhado!V16, "")</f>
        <v/>
      </c>
      <c r="G27" s="73" t="str">
        <f>IF(Detalhado!P16&lt;=$C$11, Detalhado!X16, "")</f>
        <v/>
      </c>
      <c r="H27" s="73" t="str">
        <f>IF(Detalhado!P16&lt;=$C$11, Detalhado!Z16, "")</f>
        <v/>
      </c>
      <c r="I27" s="73" t="str">
        <f>IF(Detalhado!P16&lt;=$C$11, Detalhado!AC16, "")</f>
        <v/>
      </c>
      <c r="J27" s="75" t="str">
        <f>IF(Detalhado!P16&lt;=$C$11, Detalhado!AD16, "")</f>
        <v/>
      </c>
    </row>
    <row r="28">
      <c r="B28" s="76" t="str">
        <f>IF(Detalhado!P17&lt;=$C$11, Detalhado!P17, "")</f>
        <v/>
      </c>
      <c r="C28" s="77" t="str">
        <f>IF(Detalhado!P17&lt;=$C$11, Detalhado!R17, "")</f>
        <v/>
      </c>
      <c r="D28" s="77" t="str">
        <f>IF(Detalhado!P17&lt;=$C$11, Detalhado!S17, "")</f>
        <v/>
      </c>
      <c r="E28" s="78" t="str">
        <f>IF(Detalhado!P17&lt;=$C$11, Detalhado!T17, "")</f>
        <v/>
      </c>
      <c r="F28" s="79" t="str">
        <f>IF(Detalhado!P17&lt;=$C$11, Detalhado!V17, "")</f>
        <v/>
      </c>
      <c r="G28" s="80" t="str">
        <f>IF(Detalhado!P17&lt;=$C$11, Detalhado!X17, "")</f>
        <v/>
      </c>
      <c r="H28" s="80" t="str">
        <f>IF(Detalhado!P17&lt;=$C$11, Detalhado!Z17, "")</f>
        <v/>
      </c>
      <c r="I28" s="80" t="str">
        <f>IF(Detalhado!P17&lt;=$C$11, Detalhado!AC17, "")</f>
        <v/>
      </c>
      <c r="J28" s="81" t="str">
        <f>IF(Detalhado!P17&lt;=$C$11, Detalhado!AD17, "")</f>
        <v/>
      </c>
    </row>
    <row r="29">
      <c r="B29" s="69" t="str">
        <f>IF(Detalhado!P18&lt;=$C$11, Detalhado!P18, "")</f>
        <v/>
      </c>
      <c r="C29" s="70" t="str">
        <f>IF(Detalhado!P18&lt;=$C$11, Detalhado!R18, "")</f>
        <v/>
      </c>
      <c r="D29" s="70" t="str">
        <f>IF(Detalhado!P18&lt;=$C$11, Detalhado!S18, "")</f>
        <v/>
      </c>
      <c r="E29" s="71" t="str">
        <f>IF(Detalhado!P18&lt;=$C$11, Detalhado!T18, "")</f>
        <v/>
      </c>
      <c r="F29" s="72" t="str">
        <f>IF(Detalhado!P18&lt;=$C$11, Detalhado!V18, "")</f>
        <v/>
      </c>
      <c r="G29" s="73" t="str">
        <f>IF(Detalhado!P18&lt;=$C$11, Detalhado!X18, "")</f>
        <v/>
      </c>
      <c r="H29" s="73" t="str">
        <f>IF(Detalhado!P18&lt;=$C$11, Detalhado!Z18, "")</f>
        <v/>
      </c>
      <c r="I29" s="73" t="str">
        <f>IF(Detalhado!P18&lt;=$C$11, Detalhado!AC18, "")</f>
        <v/>
      </c>
      <c r="J29" s="75" t="str">
        <f>IF(Detalhado!P18&lt;=$C$11, Detalhado!AD18, "")</f>
        <v/>
      </c>
    </row>
    <row r="30">
      <c r="B30" s="76" t="str">
        <f>IF(Detalhado!P19&lt;=$C$11, Detalhado!P19, "")</f>
        <v/>
      </c>
      <c r="C30" s="77" t="str">
        <f>IF(Detalhado!P19&lt;=$C$11, Detalhado!R19, "")</f>
        <v/>
      </c>
      <c r="D30" s="77" t="str">
        <f>IF(Detalhado!P19&lt;=$C$11, Detalhado!S19, "")</f>
        <v/>
      </c>
      <c r="E30" s="78" t="str">
        <f>IF(Detalhado!P19&lt;=$C$11, Detalhado!T19, "")</f>
        <v/>
      </c>
      <c r="F30" s="79" t="str">
        <f>IF(Detalhado!P19&lt;=$C$11, Detalhado!V19, "")</f>
        <v/>
      </c>
      <c r="G30" s="80" t="str">
        <f>IF(Detalhado!P19&lt;=$C$11, Detalhado!X19, "")</f>
        <v/>
      </c>
      <c r="H30" s="80" t="str">
        <f>IF(Detalhado!P19&lt;=$C$11, Detalhado!Z19, "")</f>
        <v/>
      </c>
      <c r="I30" s="80" t="str">
        <f>IF(Detalhado!P19&lt;=$C$11, Detalhado!AC19, "")</f>
        <v/>
      </c>
      <c r="J30" s="81" t="str">
        <f>IF(Detalhado!P19&lt;=$C$11, Detalhado!AD19, "")</f>
        <v/>
      </c>
    </row>
    <row r="31">
      <c r="B31" s="69" t="str">
        <f>IF(Detalhado!P20&lt;=$C$11, Detalhado!P20, "")</f>
        <v/>
      </c>
      <c r="C31" s="70" t="str">
        <f>IF(Detalhado!P20&lt;=$C$11, Detalhado!R20, "")</f>
        <v/>
      </c>
      <c r="D31" s="70" t="str">
        <f>IF(Detalhado!P20&lt;=$C$11, Detalhado!S20, "")</f>
        <v/>
      </c>
      <c r="E31" s="71" t="str">
        <f>IF(Detalhado!P20&lt;=$C$11, Detalhado!T20, "")</f>
        <v/>
      </c>
      <c r="F31" s="72" t="str">
        <f>IF(Detalhado!P20&lt;=$C$11, Detalhado!V20, "")</f>
        <v/>
      </c>
      <c r="G31" s="73" t="str">
        <f>IF(Detalhado!P20&lt;=$C$11, Detalhado!X20, "")</f>
        <v/>
      </c>
      <c r="H31" s="73" t="str">
        <f>IF(Detalhado!P20&lt;=$C$11, Detalhado!Z20, "")</f>
        <v/>
      </c>
      <c r="I31" s="73" t="str">
        <f>IF(Detalhado!P20&lt;=$C$11, Detalhado!AC20, "")</f>
        <v/>
      </c>
      <c r="J31" s="75" t="str">
        <f>IF(Detalhado!P20&lt;=$C$11, Detalhado!AD20, "")</f>
        <v/>
      </c>
    </row>
    <row r="32">
      <c r="B32" s="76" t="str">
        <f>IF(Detalhado!P21&lt;=$C$11, Detalhado!P21, "")</f>
        <v/>
      </c>
      <c r="C32" s="77" t="str">
        <f>IF(Detalhado!P21&lt;=$C$11, Detalhado!R21, "")</f>
        <v/>
      </c>
      <c r="D32" s="77" t="str">
        <f>IF(Detalhado!P21&lt;=$C$11, Detalhado!S21, "")</f>
        <v/>
      </c>
      <c r="E32" s="78" t="str">
        <f>IF(Detalhado!P21&lt;=$C$11, Detalhado!T21, "")</f>
        <v/>
      </c>
      <c r="F32" s="79" t="str">
        <f>IF(Detalhado!P21&lt;=$C$11, Detalhado!V21, "")</f>
        <v/>
      </c>
      <c r="G32" s="80" t="str">
        <f>IF(Detalhado!P21&lt;=$C$11, Detalhado!X21, "")</f>
        <v/>
      </c>
      <c r="H32" s="80" t="str">
        <f>IF(Detalhado!P21&lt;=$C$11, Detalhado!Z21, "")</f>
        <v/>
      </c>
      <c r="I32" s="80" t="str">
        <f>IF(Detalhado!P21&lt;=$C$11, Detalhado!AC21, "")</f>
        <v/>
      </c>
      <c r="J32" s="81" t="str">
        <f>IF(Detalhado!P21&lt;=$C$11, Detalhado!AD21, "")</f>
        <v/>
      </c>
    </row>
    <row r="33">
      <c r="B33" s="82" t="s">
        <v>47</v>
      </c>
      <c r="C33" s="83"/>
      <c r="D33" s="83"/>
      <c r="E33" s="83"/>
      <c r="F33" s="84"/>
      <c r="G33" s="85">
        <f t="shared" ref="G33:J33" si="1">SUM(G15:G32)</f>
        <v>658</v>
      </c>
      <c r="H33" s="85">
        <f t="shared" si="1"/>
        <v>14.41</v>
      </c>
      <c r="I33" s="85">
        <f t="shared" si="1"/>
        <v>20.27</v>
      </c>
      <c r="J33" s="86">
        <f t="shared" si="1"/>
        <v>623.32</v>
      </c>
    </row>
  </sheetData>
  <mergeCells count="21">
    <mergeCell ref="B5:C5"/>
    <mergeCell ref="E5:F5"/>
    <mergeCell ref="G5:H5"/>
    <mergeCell ref="I5:J5"/>
    <mergeCell ref="E6:F6"/>
    <mergeCell ref="G6:H6"/>
    <mergeCell ref="I6:J6"/>
    <mergeCell ref="G10:H10"/>
    <mergeCell ref="I10:J10"/>
    <mergeCell ref="E11:F11"/>
    <mergeCell ref="G11:H11"/>
    <mergeCell ref="I11:J11"/>
    <mergeCell ref="B13:J13"/>
    <mergeCell ref="B33:F33"/>
    <mergeCell ref="E7:F7"/>
    <mergeCell ref="G7:H7"/>
    <mergeCell ref="I7:J7"/>
    <mergeCell ref="E9:F9"/>
    <mergeCell ref="G9:H9"/>
    <mergeCell ref="I9:J9"/>
    <mergeCell ref="E10:F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63"/>
  </cols>
  <sheetData>
    <row r="1">
      <c r="A1" s="2"/>
      <c r="B1" s="2"/>
      <c r="C1" s="2"/>
      <c r="D1" s="2"/>
      <c r="E1" s="2"/>
      <c r="F1" s="2"/>
      <c r="G1" s="2"/>
      <c r="H1" s="4"/>
      <c r="I1" s="4"/>
      <c r="J1" s="4"/>
      <c r="K1" s="4"/>
      <c r="L1" s="4"/>
      <c r="M1" s="4"/>
      <c r="N1" s="4"/>
    </row>
    <row r="2">
      <c r="A2" s="8" t="s">
        <v>5</v>
      </c>
      <c r="B2" s="10"/>
      <c r="C2" s="10"/>
      <c r="D2" s="10"/>
      <c r="E2" s="10"/>
      <c r="F2" s="10"/>
      <c r="G2" s="11"/>
      <c r="H2" s="14"/>
      <c r="I2" s="10"/>
      <c r="J2" s="10"/>
      <c r="K2" s="10"/>
      <c r="L2" s="10"/>
      <c r="M2" s="10"/>
      <c r="N2" s="11"/>
      <c r="P2" s="16" t="s">
        <v>10</v>
      </c>
    </row>
    <row r="3">
      <c r="A3" s="18" t="s">
        <v>11</v>
      </c>
      <c r="B3" s="20" t="s">
        <v>13</v>
      </c>
      <c r="C3" s="20" t="s">
        <v>14</v>
      </c>
      <c r="D3" s="20" t="s">
        <v>15</v>
      </c>
      <c r="E3" s="20" t="s">
        <v>16</v>
      </c>
      <c r="F3" s="20" t="s">
        <v>17</v>
      </c>
      <c r="G3" s="22" t="s">
        <v>18</v>
      </c>
      <c r="H3" s="20" t="s">
        <v>19</v>
      </c>
      <c r="I3" s="20" t="s">
        <v>20</v>
      </c>
      <c r="J3" s="23" t="s">
        <v>21</v>
      </c>
      <c r="K3" s="23" t="s">
        <v>22</v>
      </c>
      <c r="L3" s="22" t="s">
        <v>17</v>
      </c>
      <c r="M3" s="20" t="s">
        <v>23</v>
      </c>
      <c r="N3" s="20" t="s">
        <v>24</v>
      </c>
      <c r="P3" s="16" t="s">
        <v>11</v>
      </c>
      <c r="Q3" s="16" t="s">
        <v>13</v>
      </c>
      <c r="R3" s="16" t="s">
        <v>14</v>
      </c>
      <c r="S3" s="16" t="s">
        <v>15</v>
      </c>
      <c r="T3" s="16" t="s">
        <v>16</v>
      </c>
      <c r="U3" s="16" t="s">
        <v>17</v>
      </c>
      <c r="V3" s="16" t="s">
        <v>18</v>
      </c>
      <c r="W3" s="16" t="s">
        <v>25</v>
      </c>
      <c r="X3" s="16" t="s">
        <v>19</v>
      </c>
      <c r="Y3" s="16" t="s">
        <v>20</v>
      </c>
      <c r="Z3" s="16" t="s">
        <v>21</v>
      </c>
      <c r="AA3" s="16" t="s">
        <v>22</v>
      </c>
      <c r="AB3" s="16" t="s">
        <v>17</v>
      </c>
      <c r="AC3" s="16" t="s">
        <v>23</v>
      </c>
      <c r="AD3" s="16" t="s">
        <v>24</v>
      </c>
    </row>
    <row r="4">
      <c r="A4" s="26">
        <v>1.0</v>
      </c>
      <c r="B4" s="27">
        <f>F25</f>
        <v>46315</v>
      </c>
      <c r="C4" s="29">
        <f t="shared" ref="C4:C21" si="1">WORKDAY(B4 + (A4 * 30) - 1, 1)</f>
        <v>46345</v>
      </c>
      <c r="D4" s="32">
        <f>F26</f>
        <v>46316</v>
      </c>
      <c r="E4" s="33">
        <f t="shared" ref="E4:E21" si="2">C4-D4</f>
        <v>29</v>
      </c>
      <c r="F4" s="35">
        <f>F27</f>
        <v>0.021</v>
      </c>
      <c r="G4" s="37">
        <f t="shared" ref="G4:G21" si="3">ROUNDDOWN((F4/30)*E4, 4)</f>
        <v>0.0203</v>
      </c>
      <c r="H4" s="38">
        <f t="shared" ref="H4:H5" si="4">F31</f>
        <v>329</v>
      </c>
      <c r="I4" s="39">
        <f>F28</f>
        <v>0.0219</v>
      </c>
      <c r="J4" s="41">
        <f>ROUND(F$29*F$28, 2) - ((F$30-1) * ROUNDDOWN(F$32*F$28, 2))</f>
        <v>7.21</v>
      </c>
      <c r="K4" s="44">
        <f t="shared" ref="K4:K21" si="5">H4-J4</f>
        <v>321.79</v>
      </c>
      <c r="L4" s="46">
        <f t="shared" ref="L4:L21" si="6">G4</f>
        <v>0.0203</v>
      </c>
      <c r="M4" s="48">
        <f t="shared" ref="M4:M21" si="7">ROUND(L4*K4, 2)</f>
        <v>6.53</v>
      </c>
      <c r="N4" s="38">
        <f t="shared" ref="N4:N21" si="8">K4-M4</f>
        <v>315.26</v>
      </c>
      <c r="P4" s="50">
        <v>1.0</v>
      </c>
      <c r="Q4" s="52">
        <f>'Simulador Reverso'!$C$6</f>
        <v>46315</v>
      </c>
      <c r="R4" s="56">
        <f t="shared" ref="R4:R21" si="9">WORKDAY(Q4 + (P4 * 30) - 1, 1)</f>
        <v>46345</v>
      </c>
      <c r="S4" s="52">
        <f>'Simulador Reverso'!$C$7</f>
        <v>46316</v>
      </c>
      <c r="T4" s="58">
        <f t="shared" ref="T4:T21" si="10">R4-S4</f>
        <v>29</v>
      </c>
      <c r="U4" s="60">
        <f>'Simulador Reverso'!$C$8</f>
        <v>0.021</v>
      </c>
      <c r="V4" s="58">
        <f t="shared" ref="V4:V21" si="11">ROUNDDOWN((U4/30)*T4, 4)</f>
        <v>0.0203</v>
      </c>
      <c r="W4" s="58">
        <f>(1 - 'Simulador Reverso'!$C$9) * (1 - V4)</f>
        <v>0.95824457</v>
      </c>
      <c r="X4" s="68">
        <f>U$33</f>
        <v>329</v>
      </c>
      <c r="Y4" s="60">
        <f>'Simulador Reverso'!$C$9</f>
        <v>0.0219</v>
      </c>
      <c r="Z4" s="68">
        <f>ROUND(U$32*Y4, 2) - ((U$30-1) * ROUNDDOWN(U$34*Y4, 2))</f>
        <v>7.21</v>
      </c>
      <c r="AA4" s="68">
        <f t="shared" ref="AA4:AA21" si="12">X4-Z4</f>
        <v>321.79</v>
      </c>
      <c r="AB4" s="58">
        <f t="shared" ref="AB4:AB21" si="13">V4</f>
        <v>0.0203</v>
      </c>
      <c r="AC4" s="68">
        <f t="shared" ref="AC4:AC21" si="14">ROUND(AB4*AA4, 2)</f>
        <v>6.53</v>
      </c>
      <c r="AD4" s="68">
        <f t="shared" ref="AD4:AD21" si="15">AA4-AC4</f>
        <v>315.26</v>
      </c>
    </row>
    <row r="5">
      <c r="A5" s="26">
        <v>2.0</v>
      </c>
      <c r="B5" s="27">
        <f t="shared" ref="B5:B21" si="16">B4</f>
        <v>46315</v>
      </c>
      <c r="C5" s="29">
        <f t="shared" si="1"/>
        <v>46377</v>
      </c>
      <c r="D5" s="32">
        <f t="shared" ref="D5:D21" si="17">D4</f>
        <v>46316</v>
      </c>
      <c r="E5" s="33">
        <f t="shared" si="2"/>
        <v>61</v>
      </c>
      <c r="F5" s="74">
        <f>F4</f>
        <v>0.021</v>
      </c>
      <c r="G5" s="37">
        <f t="shared" si="3"/>
        <v>0.0427</v>
      </c>
      <c r="H5" s="38">
        <f t="shared" si="4"/>
        <v>329</v>
      </c>
      <c r="I5" s="39">
        <f>F28</f>
        <v>0.0219</v>
      </c>
      <c r="J5" s="33">
        <f t="shared" ref="J5:J21" si="18">ROUNDDOWN(H5*I5, 2)</f>
        <v>7.2</v>
      </c>
      <c r="K5" s="44">
        <f t="shared" si="5"/>
        <v>321.8</v>
      </c>
      <c r="L5" s="46">
        <f t="shared" si="6"/>
        <v>0.0427</v>
      </c>
      <c r="M5" s="48">
        <f t="shared" si="7"/>
        <v>13.74</v>
      </c>
      <c r="N5" s="38">
        <f t="shared" si="8"/>
        <v>308.06</v>
      </c>
      <c r="P5" s="50">
        <v>2.0</v>
      </c>
      <c r="Q5" s="52">
        <f>Q4</f>
        <v>46315</v>
      </c>
      <c r="R5" s="56">
        <f t="shared" si="9"/>
        <v>46377</v>
      </c>
      <c r="S5" s="52">
        <f>S4</f>
        <v>46316</v>
      </c>
      <c r="T5" s="58">
        <f t="shared" si="10"/>
        <v>61</v>
      </c>
      <c r="U5" s="60">
        <f>U4</f>
        <v>0.021</v>
      </c>
      <c r="V5" s="58">
        <f t="shared" si="11"/>
        <v>0.0427</v>
      </c>
      <c r="W5" s="58">
        <f>(1 - 'Simulador Reverso'!$C$9) * (1 - V5)</f>
        <v>0.93633513</v>
      </c>
      <c r="X5" s="58">
        <f t="shared" ref="X5:X21" si="19">U$34</f>
        <v>329</v>
      </c>
      <c r="Y5" s="60">
        <f>Y4</f>
        <v>0.0219</v>
      </c>
      <c r="Z5" s="58">
        <f t="shared" ref="Z5:Z21" si="20">ROUNDDOWN(X5*Y5, 2)</f>
        <v>7.2</v>
      </c>
      <c r="AA5" s="58">
        <f t="shared" si="12"/>
        <v>321.8</v>
      </c>
      <c r="AB5" s="58">
        <f t="shared" si="13"/>
        <v>0.0427</v>
      </c>
      <c r="AC5" s="58">
        <f t="shared" si="14"/>
        <v>13.74</v>
      </c>
      <c r="AD5" s="58">
        <f t="shared" si="15"/>
        <v>308.06</v>
      </c>
    </row>
    <row r="6">
      <c r="A6" s="26">
        <v>3.0</v>
      </c>
      <c r="B6" s="27">
        <f t="shared" si="16"/>
        <v>46315</v>
      </c>
      <c r="C6" s="29">
        <f t="shared" si="1"/>
        <v>46405</v>
      </c>
      <c r="D6" s="32">
        <f t="shared" si="17"/>
        <v>46316</v>
      </c>
      <c r="E6" s="33">
        <f t="shared" si="2"/>
        <v>89</v>
      </c>
      <c r="F6" s="74">
        <f>F4</f>
        <v>0.021</v>
      </c>
      <c r="G6" s="37">
        <f t="shared" si="3"/>
        <v>0.0623</v>
      </c>
      <c r="H6" s="38">
        <f>F32</f>
        <v>329</v>
      </c>
      <c r="I6" s="39">
        <f>F28</f>
        <v>0.0219</v>
      </c>
      <c r="J6" s="33">
        <f t="shared" si="18"/>
        <v>7.2</v>
      </c>
      <c r="K6" s="44">
        <f t="shared" si="5"/>
        <v>321.8</v>
      </c>
      <c r="L6" s="46">
        <f t="shared" si="6"/>
        <v>0.0623</v>
      </c>
      <c r="M6" s="48">
        <f t="shared" si="7"/>
        <v>20.05</v>
      </c>
      <c r="N6" s="38">
        <f t="shared" si="8"/>
        <v>301.75</v>
      </c>
      <c r="P6" s="50">
        <v>3.0</v>
      </c>
      <c r="Q6" s="52">
        <f>Q4</f>
        <v>46315</v>
      </c>
      <c r="R6" s="56">
        <f t="shared" si="9"/>
        <v>46405</v>
      </c>
      <c r="S6" s="52">
        <f>S4</f>
        <v>46316</v>
      </c>
      <c r="T6" s="58">
        <f t="shared" si="10"/>
        <v>89</v>
      </c>
      <c r="U6" s="60">
        <f>U4</f>
        <v>0.021</v>
      </c>
      <c r="V6" s="58">
        <f t="shared" si="11"/>
        <v>0.0623</v>
      </c>
      <c r="W6" s="58">
        <f>(1 - 'Simulador Reverso'!$C$9) * (1 - V6)</f>
        <v>0.91716437</v>
      </c>
      <c r="X6" s="58">
        <f t="shared" si="19"/>
        <v>329</v>
      </c>
      <c r="Y6" s="60">
        <f>Y4</f>
        <v>0.0219</v>
      </c>
      <c r="Z6" s="58">
        <f t="shared" si="20"/>
        <v>7.2</v>
      </c>
      <c r="AA6" s="58">
        <f t="shared" si="12"/>
        <v>321.8</v>
      </c>
      <c r="AB6" s="58">
        <f t="shared" si="13"/>
        <v>0.0623</v>
      </c>
      <c r="AC6" s="58">
        <f t="shared" si="14"/>
        <v>20.05</v>
      </c>
      <c r="AD6" s="58">
        <f t="shared" si="15"/>
        <v>301.75</v>
      </c>
    </row>
    <row r="7">
      <c r="A7" s="26">
        <v>4.0</v>
      </c>
      <c r="B7" s="27">
        <f t="shared" si="16"/>
        <v>46315</v>
      </c>
      <c r="C7" s="29">
        <f t="shared" si="1"/>
        <v>46435</v>
      </c>
      <c r="D7" s="32">
        <f t="shared" si="17"/>
        <v>46316</v>
      </c>
      <c r="E7" s="33">
        <f t="shared" si="2"/>
        <v>119</v>
      </c>
      <c r="F7" s="74">
        <f>F4</f>
        <v>0.021</v>
      </c>
      <c r="G7" s="37">
        <f t="shared" si="3"/>
        <v>0.0833</v>
      </c>
      <c r="H7" s="38">
        <f>F32</f>
        <v>329</v>
      </c>
      <c r="I7" s="39">
        <f>F28</f>
        <v>0.0219</v>
      </c>
      <c r="J7" s="33">
        <f t="shared" si="18"/>
        <v>7.2</v>
      </c>
      <c r="K7" s="44">
        <f t="shared" si="5"/>
        <v>321.8</v>
      </c>
      <c r="L7" s="46">
        <f t="shared" si="6"/>
        <v>0.0833</v>
      </c>
      <c r="M7" s="48">
        <f t="shared" si="7"/>
        <v>26.81</v>
      </c>
      <c r="N7" s="38">
        <f t="shared" si="8"/>
        <v>294.99</v>
      </c>
      <c r="P7" s="50">
        <v>4.0</v>
      </c>
      <c r="Q7" s="52">
        <f>Q4</f>
        <v>46315</v>
      </c>
      <c r="R7" s="56">
        <f t="shared" si="9"/>
        <v>46435</v>
      </c>
      <c r="S7" s="52">
        <f>S4</f>
        <v>46316</v>
      </c>
      <c r="T7" s="58">
        <f t="shared" si="10"/>
        <v>119</v>
      </c>
      <c r="U7" s="60">
        <f>U4</f>
        <v>0.021</v>
      </c>
      <c r="V7" s="58">
        <f t="shared" si="11"/>
        <v>0.0833</v>
      </c>
      <c r="W7" s="58">
        <f>(1 - 'Simulador Reverso'!$C$9) * (1 - V7)</f>
        <v>0.89662427</v>
      </c>
      <c r="X7" s="58">
        <f t="shared" si="19"/>
        <v>329</v>
      </c>
      <c r="Y7" s="60">
        <f>Y4</f>
        <v>0.0219</v>
      </c>
      <c r="Z7" s="58">
        <f t="shared" si="20"/>
        <v>7.2</v>
      </c>
      <c r="AA7" s="58">
        <f t="shared" si="12"/>
        <v>321.8</v>
      </c>
      <c r="AB7" s="58">
        <f t="shared" si="13"/>
        <v>0.0833</v>
      </c>
      <c r="AC7" s="58">
        <f t="shared" si="14"/>
        <v>26.81</v>
      </c>
      <c r="AD7" s="58">
        <f t="shared" si="15"/>
        <v>294.99</v>
      </c>
    </row>
    <row r="8">
      <c r="A8" s="26">
        <v>5.0</v>
      </c>
      <c r="B8" s="27">
        <f t="shared" si="16"/>
        <v>46315</v>
      </c>
      <c r="C8" s="29">
        <f t="shared" si="1"/>
        <v>46465</v>
      </c>
      <c r="D8" s="32">
        <f t="shared" si="17"/>
        <v>46316</v>
      </c>
      <c r="E8" s="33">
        <f t="shared" si="2"/>
        <v>149</v>
      </c>
      <c r="F8" s="74">
        <f>F4</f>
        <v>0.021</v>
      </c>
      <c r="G8" s="37">
        <f t="shared" si="3"/>
        <v>0.1043</v>
      </c>
      <c r="H8" s="38">
        <f>F32</f>
        <v>329</v>
      </c>
      <c r="I8" s="39">
        <f>F28</f>
        <v>0.0219</v>
      </c>
      <c r="J8" s="33">
        <f t="shared" si="18"/>
        <v>7.2</v>
      </c>
      <c r="K8" s="44">
        <f t="shared" si="5"/>
        <v>321.8</v>
      </c>
      <c r="L8" s="46">
        <f t="shared" si="6"/>
        <v>0.1043</v>
      </c>
      <c r="M8" s="48">
        <f t="shared" si="7"/>
        <v>33.56</v>
      </c>
      <c r="N8" s="38">
        <f t="shared" si="8"/>
        <v>288.24</v>
      </c>
      <c r="P8" s="50">
        <v>5.0</v>
      </c>
      <c r="Q8" s="52">
        <f>Q4</f>
        <v>46315</v>
      </c>
      <c r="R8" s="56">
        <f t="shared" si="9"/>
        <v>46465</v>
      </c>
      <c r="S8" s="52">
        <f>S4</f>
        <v>46316</v>
      </c>
      <c r="T8" s="58">
        <f t="shared" si="10"/>
        <v>149</v>
      </c>
      <c r="U8" s="60">
        <f>U4</f>
        <v>0.021</v>
      </c>
      <c r="V8" s="58">
        <f t="shared" si="11"/>
        <v>0.1043</v>
      </c>
      <c r="W8" s="58">
        <f>(1 - 'Simulador Reverso'!$C$9) * (1 - V8)</f>
        <v>0.87608417</v>
      </c>
      <c r="X8" s="58">
        <f t="shared" si="19"/>
        <v>329</v>
      </c>
      <c r="Y8" s="60">
        <f>Y4</f>
        <v>0.0219</v>
      </c>
      <c r="Z8" s="58">
        <f t="shared" si="20"/>
        <v>7.2</v>
      </c>
      <c r="AA8" s="58">
        <f t="shared" si="12"/>
        <v>321.8</v>
      </c>
      <c r="AB8" s="58">
        <f t="shared" si="13"/>
        <v>0.1043</v>
      </c>
      <c r="AC8" s="58">
        <f t="shared" si="14"/>
        <v>33.56</v>
      </c>
      <c r="AD8" s="58">
        <f t="shared" si="15"/>
        <v>288.24</v>
      </c>
    </row>
    <row r="9">
      <c r="A9" s="26">
        <v>6.0</v>
      </c>
      <c r="B9" s="27">
        <f t="shared" si="16"/>
        <v>46315</v>
      </c>
      <c r="C9" s="29">
        <f t="shared" si="1"/>
        <v>46496</v>
      </c>
      <c r="D9" s="32">
        <f t="shared" si="17"/>
        <v>46316</v>
      </c>
      <c r="E9" s="33">
        <f t="shared" si="2"/>
        <v>180</v>
      </c>
      <c r="F9" s="74">
        <f>F4</f>
        <v>0.021</v>
      </c>
      <c r="G9" s="37">
        <f t="shared" si="3"/>
        <v>0.126</v>
      </c>
      <c r="H9" s="38">
        <f>F32</f>
        <v>329</v>
      </c>
      <c r="I9" s="39">
        <f>F28</f>
        <v>0.0219</v>
      </c>
      <c r="J9" s="33">
        <f t="shared" si="18"/>
        <v>7.2</v>
      </c>
      <c r="K9" s="44">
        <f t="shared" si="5"/>
        <v>321.8</v>
      </c>
      <c r="L9" s="46">
        <f t="shared" si="6"/>
        <v>0.126</v>
      </c>
      <c r="M9" s="48">
        <f t="shared" si="7"/>
        <v>40.55</v>
      </c>
      <c r="N9" s="38">
        <f t="shared" si="8"/>
        <v>281.25</v>
      </c>
      <c r="P9" s="50">
        <v>6.0</v>
      </c>
      <c r="Q9" s="52">
        <f>Q4</f>
        <v>46315</v>
      </c>
      <c r="R9" s="56">
        <f t="shared" si="9"/>
        <v>46496</v>
      </c>
      <c r="S9" s="52">
        <f>S4</f>
        <v>46316</v>
      </c>
      <c r="T9" s="58">
        <f t="shared" si="10"/>
        <v>180</v>
      </c>
      <c r="U9" s="60">
        <f>U4</f>
        <v>0.021</v>
      </c>
      <c r="V9" s="58">
        <f t="shared" si="11"/>
        <v>0.126</v>
      </c>
      <c r="W9" s="58">
        <f>(1 - 'Simulador Reverso'!$C$9) * (1 - V9)</f>
        <v>0.8548594</v>
      </c>
      <c r="X9" s="58">
        <f t="shared" si="19"/>
        <v>329</v>
      </c>
      <c r="Y9" s="60">
        <f>Y4</f>
        <v>0.0219</v>
      </c>
      <c r="Z9" s="58">
        <f t="shared" si="20"/>
        <v>7.2</v>
      </c>
      <c r="AA9" s="58">
        <f t="shared" si="12"/>
        <v>321.8</v>
      </c>
      <c r="AB9" s="58">
        <f t="shared" si="13"/>
        <v>0.126</v>
      </c>
      <c r="AC9" s="58">
        <f t="shared" si="14"/>
        <v>40.55</v>
      </c>
      <c r="AD9" s="58">
        <f t="shared" si="15"/>
        <v>281.25</v>
      </c>
    </row>
    <row r="10">
      <c r="A10" s="26">
        <v>7.0</v>
      </c>
      <c r="B10" s="27">
        <f t="shared" si="16"/>
        <v>46315</v>
      </c>
      <c r="C10" s="29">
        <f t="shared" si="1"/>
        <v>46525</v>
      </c>
      <c r="D10" s="32">
        <f t="shared" si="17"/>
        <v>46316</v>
      </c>
      <c r="E10" s="33">
        <f t="shared" si="2"/>
        <v>209</v>
      </c>
      <c r="F10" s="74">
        <f>F4</f>
        <v>0.021</v>
      </c>
      <c r="G10" s="37">
        <f t="shared" si="3"/>
        <v>0.1463</v>
      </c>
      <c r="H10" s="38">
        <f>F32</f>
        <v>329</v>
      </c>
      <c r="I10" s="39">
        <f>F28</f>
        <v>0.0219</v>
      </c>
      <c r="J10" s="33">
        <f t="shared" si="18"/>
        <v>7.2</v>
      </c>
      <c r="K10" s="44">
        <f t="shared" si="5"/>
        <v>321.8</v>
      </c>
      <c r="L10" s="46">
        <f t="shared" si="6"/>
        <v>0.1463</v>
      </c>
      <c r="M10" s="48">
        <f t="shared" si="7"/>
        <v>47.08</v>
      </c>
      <c r="N10" s="38">
        <f t="shared" si="8"/>
        <v>274.72</v>
      </c>
      <c r="P10" s="50">
        <v>7.0</v>
      </c>
      <c r="Q10" s="52">
        <f>Q4</f>
        <v>46315</v>
      </c>
      <c r="R10" s="56">
        <f t="shared" si="9"/>
        <v>46525</v>
      </c>
      <c r="S10" s="52">
        <f>S4</f>
        <v>46316</v>
      </c>
      <c r="T10" s="58">
        <f t="shared" si="10"/>
        <v>209</v>
      </c>
      <c r="U10" s="60">
        <f>U4</f>
        <v>0.021</v>
      </c>
      <c r="V10" s="58">
        <f t="shared" si="11"/>
        <v>0.1463</v>
      </c>
      <c r="W10" s="58">
        <f>(1 - 'Simulador Reverso'!$C$9) * (1 - V10)</f>
        <v>0.83500397</v>
      </c>
      <c r="X10" s="58">
        <f t="shared" si="19"/>
        <v>329</v>
      </c>
      <c r="Y10" s="60">
        <f>Y4</f>
        <v>0.0219</v>
      </c>
      <c r="Z10" s="58">
        <f t="shared" si="20"/>
        <v>7.2</v>
      </c>
      <c r="AA10" s="58">
        <f t="shared" si="12"/>
        <v>321.8</v>
      </c>
      <c r="AB10" s="58">
        <f t="shared" si="13"/>
        <v>0.1463</v>
      </c>
      <c r="AC10" s="58">
        <f t="shared" si="14"/>
        <v>47.08</v>
      </c>
      <c r="AD10" s="58">
        <f t="shared" si="15"/>
        <v>274.72</v>
      </c>
    </row>
    <row r="11">
      <c r="A11" s="26">
        <v>8.0</v>
      </c>
      <c r="B11" s="27">
        <f t="shared" si="16"/>
        <v>46315</v>
      </c>
      <c r="C11" s="29">
        <f t="shared" si="1"/>
        <v>46555</v>
      </c>
      <c r="D11" s="32">
        <f t="shared" si="17"/>
        <v>46316</v>
      </c>
      <c r="E11" s="33">
        <f t="shared" si="2"/>
        <v>239</v>
      </c>
      <c r="F11" s="74">
        <f>F4</f>
        <v>0.021</v>
      </c>
      <c r="G11" s="37">
        <f t="shared" si="3"/>
        <v>0.1673</v>
      </c>
      <c r="H11" s="38">
        <f>F32</f>
        <v>329</v>
      </c>
      <c r="I11" s="39">
        <f>F28</f>
        <v>0.0219</v>
      </c>
      <c r="J11" s="33">
        <f t="shared" si="18"/>
        <v>7.2</v>
      </c>
      <c r="K11" s="44">
        <f t="shared" si="5"/>
        <v>321.8</v>
      </c>
      <c r="L11" s="46">
        <f t="shared" si="6"/>
        <v>0.1673</v>
      </c>
      <c r="M11" s="48">
        <f t="shared" si="7"/>
        <v>53.84</v>
      </c>
      <c r="N11" s="38">
        <f t="shared" si="8"/>
        <v>267.96</v>
      </c>
      <c r="P11" s="50">
        <v>8.0</v>
      </c>
      <c r="Q11" s="52">
        <f>Q4</f>
        <v>46315</v>
      </c>
      <c r="R11" s="56">
        <f t="shared" si="9"/>
        <v>46555</v>
      </c>
      <c r="S11" s="52">
        <f>S4</f>
        <v>46316</v>
      </c>
      <c r="T11" s="58">
        <f t="shared" si="10"/>
        <v>239</v>
      </c>
      <c r="U11" s="60">
        <f>U4</f>
        <v>0.021</v>
      </c>
      <c r="V11" s="58">
        <f t="shared" si="11"/>
        <v>0.1673</v>
      </c>
      <c r="W11" s="58">
        <f>(1 - 'Simulador Reverso'!$C$9) * (1 - V11)</f>
        <v>0.81446387</v>
      </c>
      <c r="X11" s="58">
        <f t="shared" si="19"/>
        <v>329</v>
      </c>
      <c r="Y11" s="60">
        <f>Y4</f>
        <v>0.0219</v>
      </c>
      <c r="Z11" s="58">
        <f t="shared" si="20"/>
        <v>7.2</v>
      </c>
      <c r="AA11" s="58">
        <f t="shared" si="12"/>
        <v>321.8</v>
      </c>
      <c r="AB11" s="58">
        <f t="shared" si="13"/>
        <v>0.1673</v>
      </c>
      <c r="AC11" s="58">
        <f t="shared" si="14"/>
        <v>53.84</v>
      </c>
      <c r="AD11" s="58">
        <f t="shared" si="15"/>
        <v>267.96</v>
      </c>
    </row>
    <row r="12">
      <c r="A12" s="26">
        <v>9.0</v>
      </c>
      <c r="B12" s="27">
        <f t="shared" si="16"/>
        <v>46315</v>
      </c>
      <c r="C12" s="29">
        <f t="shared" si="1"/>
        <v>46587</v>
      </c>
      <c r="D12" s="32">
        <f t="shared" si="17"/>
        <v>46316</v>
      </c>
      <c r="E12" s="33">
        <f t="shared" si="2"/>
        <v>271</v>
      </c>
      <c r="F12" s="74">
        <f>F4</f>
        <v>0.021</v>
      </c>
      <c r="G12" s="37">
        <f t="shared" si="3"/>
        <v>0.1897</v>
      </c>
      <c r="H12" s="38">
        <f>F32</f>
        <v>329</v>
      </c>
      <c r="I12" s="39">
        <f>F28</f>
        <v>0.0219</v>
      </c>
      <c r="J12" s="33">
        <f t="shared" si="18"/>
        <v>7.2</v>
      </c>
      <c r="K12" s="44">
        <f t="shared" si="5"/>
        <v>321.8</v>
      </c>
      <c r="L12" s="46">
        <f t="shared" si="6"/>
        <v>0.1897</v>
      </c>
      <c r="M12" s="48">
        <f t="shared" si="7"/>
        <v>61.05</v>
      </c>
      <c r="N12" s="38">
        <f t="shared" si="8"/>
        <v>260.75</v>
      </c>
      <c r="P12" s="50">
        <v>9.0</v>
      </c>
      <c r="Q12" s="52">
        <f>Q4</f>
        <v>46315</v>
      </c>
      <c r="R12" s="56">
        <f t="shared" si="9"/>
        <v>46587</v>
      </c>
      <c r="S12" s="52">
        <f>S4</f>
        <v>46316</v>
      </c>
      <c r="T12" s="58">
        <f t="shared" si="10"/>
        <v>271</v>
      </c>
      <c r="U12" s="60">
        <f>U4</f>
        <v>0.021</v>
      </c>
      <c r="V12" s="58">
        <f t="shared" si="11"/>
        <v>0.1897</v>
      </c>
      <c r="W12" s="58">
        <f>(1 - 'Simulador Reverso'!$C$9) * (1 - V12)</f>
        <v>0.79255443</v>
      </c>
      <c r="X12" s="58">
        <f t="shared" si="19"/>
        <v>329</v>
      </c>
      <c r="Y12" s="60">
        <f>Y4</f>
        <v>0.0219</v>
      </c>
      <c r="Z12" s="58">
        <f t="shared" si="20"/>
        <v>7.2</v>
      </c>
      <c r="AA12" s="58">
        <f t="shared" si="12"/>
        <v>321.8</v>
      </c>
      <c r="AB12" s="58">
        <f t="shared" si="13"/>
        <v>0.1897</v>
      </c>
      <c r="AC12" s="58">
        <f t="shared" si="14"/>
        <v>61.05</v>
      </c>
      <c r="AD12" s="58">
        <f t="shared" si="15"/>
        <v>260.75</v>
      </c>
    </row>
    <row r="13">
      <c r="A13" s="26">
        <v>10.0</v>
      </c>
      <c r="B13" s="27">
        <f t="shared" si="16"/>
        <v>46315</v>
      </c>
      <c r="C13" s="29">
        <f t="shared" si="1"/>
        <v>46615</v>
      </c>
      <c r="D13" s="32">
        <f t="shared" si="17"/>
        <v>46316</v>
      </c>
      <c r="E13" s="33">
        <f t="shared" si="2"/>
        <v>299</v>
      </c>
      <c r="F13" s="74">
        <f t="shared" ref="F13:F21" si="21">F4</f>
        <v>0.021</v>
      </c>
      <c r="G13" s="37">
        <f t="shared" si="3"/>
        <v>0.2093</v>
      </c>
      <c r="H13" s="38">
        <f>F32</f>
        <v>329</v>
      </c>
      <c r="I13" s="39">
        <f>F28</f>
        <v>0.0219</v>
      </c>
      <c r="J13" s="33">
        <f t="shared" si="18"/>
        <v>7.2</v>
      </c>
      <c r="K13" s="44">
        <f t="shared" si="5"/>
        <v>321.8</v>
      </c>
      <c r="L13" s="46">
        <f t="shared" si="6"/>
        <v>0.2093</v>
      </c>
      <c r="M13" s="48">
        <f t="shared" si="7"/>
        <v>67.35</v>
      </c>
      <c r="N13" s="38">
        <f t="shared" si="8"/>
        <v>254.45</v>
      </c>
      <c r="P13" s="50">
        <v>10.0</v>
      </c>
      <c r="Q13" s="52">
        <f>Q4</f>
        <v>46315</v>
      </c>
      <c r="R13" s="56">
        <f t="shared" si="9"/>
        <v>46615</v>
      </c>
      <c r="S13" s="52">
        <f>S4</f>
        <v>46316</v>
      </c>
      <c r="T13" s="58">
        <f t="shared" si="10"/>
        <v>299</v>
      </c>
      <c r="U13" s="60">
        <f>U4</f>
        <v>0.021</v>
      </c>
      <c r="V13" s="58">
        <f t="shared" si="11"/>
        <v>0.2093</v>
      </c>
      <c r="W13" s="58">
        <f>(1 - 'Simulador Reverso'!$C$9) * (1 - V13)</f>
        <v>0.77338367</v>
      </c>
      <c r="X13" s="58">
        <f t="shared" si="19"/>
        <v>329</v>
      </c>
      <c r="Y13" s="60">
        <f>Y4</f>
        <v>0.0219</v>
      </c>
      <c r="Z13" s="58">
        <f t="shared" si="20"/>
        <v>7.2</v>
      </c>
      <c r="AA13" s="58">
        <f t="shared" si="12"/>
        <v>321.8</v>
      </c>
      <c r="AB13" s="58">
        <f t="shared" si="13"/>
        <v>0.2093</v>
      </c>
      <c r="AC13" s="58">
        <f t="shared" si="14"/>
        <v>67.35</v>
      </c>
      <c r="AD13" s="58">
        <f t="shared" si="15"/>
        <v>254.45</v>
      </c>
    </row>
    <row r="14">
      <c r="A14" s="26">
        <v>11.0</v>
      </c>
      <c r="B14" s="27">
        <f t="shared" si="16"/>
        <v>46315</v>
      </c>
      <c r="C14" s="29">
        <f t="shared" si="1"/>
        <v>46645</v>
      </c>
      <c r="D14" s="32">
        <f t="shared" si="17"/>
        <v>46316</v>
      </c>
      <c r="E14" s="33">
        <f t="shared" si="2"/>
        <v>329</v>
      </c>
      <c r="F14" s="74">
        <f t="shared" si="21"/>
        <v>0.021</v>
      </c>
      <c r="G14" s="37">
        <f t="shared" si="3"/>
        <v>0.2303</v>
      </c>
      <c r="H14" s="38">
        <f>F32</f>
        <v>329</v>
      </c>
      <c r="I14" s="39">
        <f>F28</f>
        <v>0.0219</v>
      </c>
      <c r="J14" s="33">
        <f t="shared" si="18"/>
        <v>7.2</v>
      </c>
      <c r="K14" s="44">
        <f t="shared" si="5"/>
        <v>321.8</v>
      </c>
      <c r="L14" s="46">
        <f t="shared" si="6"/>
        <v>0.2303</v>
      </c>
      <c r="M14" s="48">
        <f t="shared" si="7"/>
        <v>74.11</v>
      </c>
      <c r="N14" s="38">
        <f t="shared" si="8"/>
        <v>247.69</v>
      </c>
      <c r="P14" s="50">
        <v>11.0</v>
      </c>
      <c r="Q14" s="52">
        <f>Q4</f>
        <v>46315</v>
      </c>
      <c r="R14" s="56">
        <f t="shared" si="9"/>
        <v>46645</v>
      </c>
      <c r="S14" s="52">
        <f>S4</f>
        <v>46316</v>
      </c>
      <c r="T14" s="58">
        <f t="shared" si="10"/>
        <v>329</v>
      </c>
      <c r="U14" s="60">
        <f>U4</f>
        <v>0.021</v>
      </c>
      <c r="V14" s="58">
        <f t="shared" si="11"/>
        <v>0.2303</v>
      </c>
      <c r="W14" s="58">
        <f>(1 - 'Simulador Reverso'!$C$9) * (1 - V14)</f>
        <v>0.75284357</v>
      </c>
      <c r="X14" s="58">
        <f t="shared" si="19"/>
        <v>329</v>
      </c>
      <c r="Y14" s="60">
        <f>Y4</f>
        <v>0.0219</v>
      </c>
      <c r="Z14" s="58">
        <f t="shared" si="20"/>
        <v>7.2</v>
      </c>
      <c r="AA14" s="58">
        <f t="shared" si="12"/>
        <v>321.8</v>
      </c>
      <c r="AB14" s="58">
        <f t="shared" si="13"/>
        <v>0.2303</v>
      </c>
      <c r="AC14" s="58">
        <f t="shared" si="14"/>
        <v>74.11</v>
      </c>
      <c r="AD14" s="58">
        <f t="shared" si="15"/>
        <v>247.69</v>
      </c>
    </row>
    <row r="15">
      <c r="A15" s="26">
        <v>12.0</v>
      </c>
      <c r="B15" s="27">
        <f t="shared" si="16"/>
        <v>46315</v>
      </c>
      <c r="C15" s="29">
        <f t="shared" si="1"/>
        <v>46675</v>
      </c>
      <c r="D15" s="32">
        <f t="shared" si="17"/>
        <v>46316</v>
      </c>
      <c r="E15" s="33">
        <f t="shared" si="2"/>
        <v>359</v>
      </c>
      <c r="F15" s="74">
        <f t="shared" si="21"/>
        <v>0.021</v>
      </c>
      <c r="G15" s="37">
        <f t="shared" si="3"/>
        <v>0.2513</v>
      </c>
      <c r="H15" s="38">
        <f>F32</f>
        <v>329</v>
      </c>
      <c r="I15" s="39">
        <f>F28</f>
        <v>0.0219</v>
      </c>
      <c r="J15" s="33">
        <f t="shared" si="18"/>
        <v>7.2</v>
      </c>
      <c r="K15" s="44">
        <f t="shared" si="5"/>
        <v>321.8</v>
      </c>
      <c r="L15" s="46">
        <f t="shared" si="6"/>
        <v>0.2513</v>
      </c>
      <c r="M15" s="48">
        <f t="shared" si="7"/>
        <v>80.87</v>
      </c>
      <c r="N15" s="38">
        <f t="shared" si="8"/>
        <v>240.93</v>
      </c>
      <c r="P15" s="50">
        <v>12.0</v>
      </c>
      <c r="Q15" s="52">
        <f>Q4</f>
        <v>46315</v>
      </c>
      <c r="R15" s="56">
        <f t="shared" si="9"/>
        <v>46675</v>
      </c>
      <c r="S15" s="52">
        <f>S4</f>
        <v>46316</v>
      </c>
      <c r="T15" s="58">
        <f t="shared" si="10"/>
        <v>359</v>
      </c>
      <c r="U15" s="60">
        <f>U4</f>
        <v>0.021</v>
      </c>
      <c r="V15" s="58">
        <f t="shared" si="11"/>
        <v>0.2513</v>
      </c>
      <c r="W15" s="58">
        <f>(1 - 'Simulador Reverso'!$C$9) * (1 - V15)</f>
        <v>0.73230347</v>
      </c>
      <c r="X15" s="58">
        <f t="shared" si="19"/>
        <v>329</v>
      </c>
      <c r="Y15" s="60">
        <f>Y4</f>
        <v>0.0219</v>
      </c>
      <c r="Z15" s="58">
        <f t="shared" si="20"/>
        <v>7.2</v>
      </c>
      <c r="AA15" s="58">
        <f t="shared" si="12"/>
        <v>321.8</v>
      </c>
      <c r="AB15" s="58">
        <f t="shared" si="13"/>
        <v>0.2513</v>
      </c>
      <c r="AC15" s="58">
        <f t="shared" si="14"/>
        <v>80.87</v>
      </c>
      <c r="AD15" s="58">
        <f t="shared" si="15"/>
        <v>240.93</v>
      </c>
    </row>
    <row r="16">
      <c r="A16" s="26">
        <v>13.0</v>
      </c>
      <c r="B16" s="27">
        <f t="shared" si="16"/>
        <v>46315</v>
      </c>
      <c r="C16" s="29">
        <f t="shared" si="1"/>
        <v>46706</v>
      </c>
      <c r="D16" s="32">
        <f t="shared" si="17"/>
        <v>46316</v>
      </c>
      <c r="E16" s="33">
        <f t="shared" si="2"/>
        <v>390</v>
      </c>
      <c r="F16" s="74">
        <f t="shared" si="21"/>
        <v>0.021</v>
      </c>
      <c r="G16" s="37">
        <f t="shared" si="3"/>
        <v>0.273</v>
      </c>
      <c r="H16" s="38">
        <f>F32</f>
        <v>329</v>
      </c>
      <c r="I16" s="39">
        <f>F28</f>
        <v>0.0219</v>
      </c>
      <c r="J16" s="33">
        <f t="shared" si="18"/>
        <v>7.2</v>
      </c>
      <c r="K16" s="44">
        <f t="shared" si="5"/>
        <v>321.8</v>
      </c>
      <c r="L16" s="46">
        <f t="shared" si="6"/>
        <v>0.273</v>
      </c>
      <c r="M16" s="48">
        <f t="shared" si="7"/>
        <v>87.85</v>
      </c>
      <c r="N16" s="38">
        <f t="shared" si="8"/>
        <v>233.95</v>
      </c>
      <c r="P16" s="50">
        <v>13.0</v>
      </c>
      <c r="Q16" s="52">
        <f>Q4</f>
        <v>46315</v>
      </c>
      <c r="R16" s="56">
        <f t="shared" si="9"/>
        <v>46706</v>
      </c>
      <c r="S16" s="52">
        <f>S4</f>
        <v>46316</v>
      </c>
      <c r="T16" s="58">
        <f t="shared" si="10"/>
        <v>390</v>
      </c>
      <c r="U16" s="60">
        <f>U4</f>
        <v>0.021</v>
      </c>
      <c r="V16" s="58">
        <f t="shared" si="11"/>
        <v>0.273</v>
      </c>
      <c r="W16" s="58">
        <f>(1 - 'Simulador Reverso'!$C$9) * (1 - V16)</f>
        <v>0.7110787</v>
      </c>
      <c r="X16" s="58">
        <f t="shared" si="19"/>
        <v>329</v>
      </c>
      <c r="Y16" s="60">
        <f>Y4</f>
        <v>0.0219</v>
      </c>
      <c r="Z16" s="58">
        <f t="shared" si="20"/>
        <v>7.2</v>
      </c>
      <c r="AA16" s="58">
        <f t="shared" si="12"/>
        <v>321.8</v>
      </c>
      <c r="AB16" s="58">
        <f t="shared" si="13"/>
        <v>0.273</v>
      </c>
      <c r="AC16" s="58">
        <f t="shared" si="14"/>
        <v>87.85</v>
      </c>
      <c r="AD16" s="58">
        <f t="shared" si="15"/>
        <v>233.95</v>
      </c>
    </row>
    <row r="17">
      <c r="A17" s="26">
        <v>14.0</v>
      </c>
      <c r="B17" s="27">
        <f t="shared" si="16"/>
        <v>46315</v>
      </c>
      <c r="C17" s="29">
        <f t="shared" si="1"/>
        <v>46735</v>
      </c>
      <c r="D17" s="32">
        <f t="shared" si="17"/>
        <v>46316</v>
      </c>
      <c r="E17" s="33">
        <f t="shared" si="2"/>
        <v>419</v>
      </c>
      <c r="F17" s="74">
        <f t="shared" si="21"/>
        <v>0.021</v>
      </c>
      <c r="G17" s="37">
        <f t="shared" si="3"/>
        <v>0.2933</v>
      </c>
      <c r="H17" s="38">
        <f>F32</f>
        <v>329</v>
      </c>
      <c r="I17" s="39">
        <f>F28</f>
        <v>0.0219</v>
      </c>
      <c r="J17" s="33">
        <f t="shared" si="18"/>
        <v>7.2</v>
      </c>
      <c r="K17" s="44">
        <f t="shared" si="5"/>
        <v>321.8</v>
      </c>
      <c r="L17" s="46">
        <f t="shared" si="6"/>
        <v>0.2933</v>
      </c>
      <c r="M17" s="48">
        <f t="shared" si="7"/>
        <v>94.38</v>
      </c>
      <c r="N17" s="38">
        <f t="shared" si="8"/>
        <v>227.42</v>
      </c>
      <c r="P17" s="50">
        <v>14.0</v>
      </c>
      <c r="Q17" s="52">
        <f>Q4</f>
        <v>46315</v>
      </c>
      <c r="R17" s="56">
        <f t="shared" si="9"/>
        <v>46735</v>
      </c>
      <c r="S17" s="52">
        <f>S4</f>
        <v>46316</v>
      </c>
      <c r="T17" s="58">
        <f t="shared" si="10"/>
        <v>419</v>
      </c>
      <c r="U17" s="60">
        <f>U4</f>
        <v>0.021</v>
      </c>
      <c r="V17" s="58">
        <f t="shared" si="11"/>
        <v>0.2933</v>
      </c>
      <c r="W17" s="58">
        <f>(1 - 'Simulador Reverso'!$C$9) * (1 - V17)</f>
        <v>0.69122327</v>
      </c>
      <c r="X17" s="58">
        <f t="shared" si="19"/>
        <v>329</v>
      </c>
      <c r="Y17" s="60">
        <f>Y4</f>
        <v>0.0219</v>
      </c>
      <c r="Z17" s="58">
        <f t="shared" si="20"/>
        <v>7.2</v>
      </c>
      <c r="AA17" s="58">
        <f t="shared" si="12"/>
        <v>321.8</v>
      </c>
      <c r="AB17" s="58">
        <f t="shared" si="13"/>
        <v>0.2933</v>
      </c>
      <c r="AC17" s="58">
        <f t="shared" si="14"/>
        <v>94.38</v>
      </c>
      <c r="AD17" s="58">
        <f t="shared" si="15"/>
        <v>227.42</v>
      </c>
    </row>
    <row r="18">
      <c r="A18" s="26">
        <v>15.0</v>
      </c>
      <c r="B18" s="27">
        <f t="shared" si="16"/>
        <v>46315</v>
      </c>
      <c r="C18" s="29">
        <f t="shared" si="1"/>
        <v>46765</v>
      </c>
      <c r="D18" s="32">
        <f t="shared" si="17"/>
        <v>46316</v>
      </c>
      <c r="E18" s="33">
        <f t="shared" si="2"/>
        <v>449</v>
      </c>
      <c r="F18" s="74">
        <f t="shared" si="21"/>
        <v>0.021</v>
      </c>
      <c r="G18" s="37">
        <f t="shared" si="3"/>
        <v>0.3143</v>
      </c>
      <c r="H18" s="38">
        <f>F32</f>
        <v>329</v>
      </c>
      <c r="I18" s="39">
        <f>F28</f>
        <v>0.0219</v>
      </c>
      <c r="J18" s="33">
        <f t="shared" si="18"/>
        <v>7.2</v>
      </c>
      <c r="K18" s="44">
        <f t="shared" si="5"/>
        <v>321.8</v>
      </c>
      <c r="L18" s="46">
        <f t="shared" si="6"/>
        <v>0.3143</v>
      </c>
      <c r="M18" s="48">
        <f t="shared" si="7"/>
        <v>101.14</v>
      </c>
      <c r="N18" s="38">
        <f t="shared" si="8"/>
        <v>220.66</v>
      </c>
      <c r="P18" s="50">
        <v>15.0</v>
      </c>
      <c r="Q18" s="52">
        <f>Q4</f>
        <v>46315</v>
      </c>
      <c r="R18" s="56">
        <f t="shared" si="9"/>
        <v>46765</v>
      </c>
      <c r="S18" s="52">
        <f>S4</f>
        <v>46316</v>
      </c>
      <c r="T18" s="58">
        <f t="shared" si="10"/>
        <v>449</v>
      </c>
      <c r="U18" s="60">
        <f>U4</f>
        <v>0.021</v>
      </c>
      <c r="V18" s="58">
        <f t="shared" si="11"/>
        <v>0.3143</v>
      </c>
      <c r="W18" s="58">
        <f>(1 - 'Simulador Reverso'!$C$9) * (1 - V18)</f>
        <v>0.67068317</v>
      </c>
      <c r="X18" s="58">
        <f t="shared" si="19"/>
        <v>329</v>
      </c>
      <c r="Y18" s="60">
        <f>Y4</f>
        <v>0.0219</v>
      </c>
      <c r="Z18" s="58">
        <f t="shared" si="20"/>
        <v>7.2</v>
      </c>
      <c r="AA18" s="58">
        <f t="shared" si="12"/>
        <v>321.8</v>
      </c>
      <c r="AB18" s="58">
        <f t="shared" si="13"/>
        <v>0.3143</v>
      </c>
      <c r="AC18" s="58">
        <f t="shared" si="14"/>
        <v>101.14</v>
      </c>
      <c r="AD18" s="58">
        <f t="shared" si="15"/>
        <v>220.66</v>
      </c>
    </row>
    <row r="19">
      <c r="A19" s="26">
        <v>16.0</v>
      </c>
      <c r="B19" s="27">
        <f t="shared" si="16"/>
        <v>46315</v>
      </c>
      <c r="C19" s="29">
        <f t="shared" si="1"/>
        <v>46797</v>
      </c>
      <c r="D19" s="32">
        <f t="shared" si="17"/>
        <v>46316</v>
      </c>
      <c r="E19" s="33">
        <f t="shared" si="2"/>
        <v>481</v>
      </c>
      <c r="F19" s="74">
        <f t="shared" si="21"/>
        <v>0.021</v>
      </c>
      <c r="G19" s="37">
        <f t="shared" si="3"/>
        <v>0.3367</v>
      </c>
      <c r="H19" s="38">
        <f>F32</f>
        <v>329</v>
      </c>
      <c r="I19" s="39">
        <f>F28</f>
        <v>0.0219</v>
      </c>
      <c r="J19" s="33">
        <f t="shared" si="18"/>
        <v>7.2</v>
      </c>
      <c r="K19" s="44">
        <f t="shared" si="5"/>
        <v>321.8</v>
      </c>
      <c r="L19" s="46">
        <f t="shared" si="6"/>
        <v>0.3367</v>
      </c>
      <c r="M19" s="48">
        <f t="shared" si="7"/>
        <v>108.35</v>
      </c>
      <c r="N19" s="38">
        <f t="shared" si="8"/>
        <v>213.45</v>
      </c>
      <c r="P19" s="50">
        <v>16.0</v>
      </c>
      <c r="Q19" s="52">
        <f>Q4</f>
        <v>46315</v>
      </c>
      <c r="R19" s="56">
        <f t="shared" si="9"/>
        <v>46797</v>
      </c>
      <c r="S19" s="52">
        <f>S4</f>
        <v>46316</v>
      </c>
      <c r="T19" s="58">
        <f t="shared" si="10"/>
        <v>481</v>
      </c>
      <c r="U19" s="60">
        <f>U4</f>
        <v>0.021</v>
      </c>
      <c r="V19" s="58">
        <f t="shared" si="11"/>
        <v>0.3367</v>
      </c>
      <c r="W19" s="58">
        <f>(1 - 'Simulador Reverso'!$C$9) * (1 - V19)</f>
        <v>0.64877373</v>
      </c>
      <c r="X19" s="58">
        <f t="shared" si="19"/>
        <v>329</v>
      </c>
      <c r="Y19" s="60">
        <f>Y4</f>
        <v>0.0219</v>
      </c>
      <c r="Z19" s="58">
        <f t="shared" si="20"/>
        <v>7.2</v>
      </c>
      <c r="AA19" s="58">
        <f t="shared" si="12"/>
        <v>321.8</v>
      </c>
      <c r="AB19" s="58">
        <f t="shared" si="13"/>
        <v>0.3367</v>
      </c>
      <c r="AC19" s="58">
        <f t="shared" si="14"/>
        <v>108.35</v>
      </c>
      <c r="AD19" s="58">
        <f t="shared" si="15"/>
        <v>213.45</v>
      </c>
    </row>
    <row r="20">
      <c r="A20" s="26">
        <v>17.0</v>
      </c>
      <c r="B20" s="27">
        <f t="shared" si="16"/>
        <v>46315</v>
      </c>
      <c r="C20" s="29">
        <f t="shared" si="1"/>
        <v>46825</v>
      </c>
      <c r="D20" s="32">
        <f t="shared" si="17"/>
        <v>46316</v>
      </c>
      <c r="E20" s="33">
        <f t="shared" si="2"/>
        <v>509</v>
      </c>
      <c r="F20" s="74">
        <f t="shared" si="21"/>
        <v>0.021</v>
      </c>
      <c r="G20" s="37">
        <f t="shared" si="3"/>
        <v>0.3563</v>
      </c>
      <c r="H20" s="38">
        <f>F32</f>
        <v>329</v>
      </c>
      <c r="I20" s="39">
        <f>F28</f>
        <v>0.0219</v>
      </c>
      <c r="J20" s="33">
        <f t="shared" si="18"/>
        <v>7.2</v>
      </c>
      <c r="K20" s="44">
        <f t="shared" si="5"/>
        <v>321.8</v>
      </c>
      <c r="L20" s="46">
        <f t="shared" si="6"/>
        <v>0.3563</v>
      </c>
      <c r="M20" s="48">
        <f t="shared" si="7"/>
        <v>114.66</v>
      </c>
      <c r="N20" s="38">
        <f t="shared" si="8"/>
        <v>207.14</v>
      </c>
      <c r="P20" s="50">
        <v>17.0</v>
      </c>
      <c r="Q20" s="52">
        <f>Q4</f>
        <v>46315</v>
      </c>
      <c r="R20" s="56">
        <f t="shared" si="9"/>
        <v>46825</v>
      </c>
      <c r="S20" s="52">
        <f>S4</f>
        <v>46316</v>
      </c>
      <c r="T20" s="58">
        <f t="shared" si="10"/>
        <v>509</v>
      </c>
      <c r="U20" s="60">
        <f>U4</f>
        <v>0.021</v>
      </c>
      <c r="V20" s="58">
        <f t="shared" si="11"/>
        <v>0.3563</v>
      </c>
      <c r="W20" s="58">
        <f>(1 - 'Simulador Reverso'!$C$9) * (1 - V20)</f>
        <v>0.62960297</v>
      </c>
      <c r="X20" s="58">
        <f t="shared" si="19"/>
        <v>329</v>
      </c>
      <c r="Y20" s="60">
        <f>Y4</f>
        <v>0.0219</v>
      </c>
      <c r="Z20" s="58">
        <f t="shared" si="20"/>
        <v>7.2</v>
      </c>
      <c r="AA20" s="58">
        <f t="shared" si="12"/>
        <v>321.8</v>
      </c>
      <c r="AB20" s="58">
        <f t="shared" si="13"/>
        <v>0.3563</v>
      </c>
      <c r="AC20" s="58">
        <f t="shared" si="14"/>
        <v>114.66</v>
      </c>
      <c r="AD20" s="58">
        <f t="shared" si="15"/>
        <v>207.14</v>
      </c>
    </row>
    <row r="21">
      <c r="A21" s="26">
        <v>18.0</v>
      </c>
      <c r="B21" s="27">
        <f t="shared" si="16"/>
        <v>46315</v>
      </c>
      <c r="C21" s="29">
        <f t="shared" si="1"/>
        <v>46855</v>
      </c>
      <c r="D21" s="32">
        <f t="shared" si="17"/>
        <v>46316</v>
      </c>
      <c r="E21" s="33">
        <f t="shared" si="2"/>
        <v>539</v>
      </c>
      <c r="F21" s="74">
        <f t="shared" si="21"/>
        <v>0.021</v>
      </c>
      <c r="G21" s="37">
        <f t="shared" si="3"/>
        <v>0.3773</v>
      </c>
      <c r="H21" s="38">
        <f>F32</f>
        <v>329</v>
      </c>
      <c r="I21" s="39">
        <f>F28</f>
        <v>0.0219</v>
      </c>
      <c r="J21" s="33">
        <f t="shared" si="18"/>
        <v>7.2</v>
      </c>
      <c r="K21" s="44">
        <f t="shared" si="5"/>
        <v>321.8</v>
      </c>
      <c r="L21" s="46">
        <f t="shared" si="6"/>
        <v>0.3773</v>
      </c>
      <c r="M21" s="48">
        <f t="shared" si="7"/>
        <v>121.42</v>
      </c>
      <c r="N21" s="38">
        <f t="shared" si="8"/>
        <v>200.38</v>
      </c>
      <c r="P21" s="50">
        <v>18.0</v>
      </c>
      <c r="Q21" s="52">
        <f>Q4</f>
        <v>46315</v>
      </c>
      <c r="R21" s="56">
        <f t="shared" si="9"/>
        <v>46855</v>
      </c>
      <c r="S21" s="52">
        <f>S4</f>
        <v>46316</v>
      </c>
      <c r="T21" s="58">
        <f t="shared" si="10"/>
        <v>539</v>
      </c>
      <c r="U21" s="60">
        <f>U4</f>
        <v>0.021</v>
      </c>
      <c r="V21" s="58">
        <f t="shared" si="11"/>
        <v>0.3773</v>
      </c>
      <c r="W21" s="58">
        <f>(1 - 'Simulador Reverso'!$C$9) * (1 - V21)</f>
        <v>0.60906287</v>
      </c>
      <c r="X21" s="58">
        <f t="shared" si="19"/>
        <v>329</v>
      </c>
      <c r="Y21" s="60">
        <f>Y4</f>
        <v>0.0219</v>
      </c>
      <c r="Z21" s="58">
        <f t="shared" si="20"/>
        <v>7.2</v>
      </c>
      <c r="AA21" s="58">
        <f t="shared" si="12"/>
        <v>321.8</v>
      </c>
      <c r="AB21" s="58">
        <f t="shared" si="13"/>
        <v>0.3773</v>
      </c>
      <c r="AC21" s="58">
        <f t="shared" si="14"/>
        <v>121.42</v>
      </c>
      <c r="AD21" s="58">
        <f t="shared" si="15"/>
        <v>200.38</v>
      </c>
    </row>
    <row r="25">
      <c r="E25" s="16" t="s">
        <v>48</v>
      </c>
      <c r="F25" s="27">
        <f>Simulador!C6</f>
        <v>46315</v>
      </c>
      <c r="T25" s="16" t="s">
        <v>48</v>
      </c>
      <c r="U25" s="52">
        <f>'Simulador Reverso'!C6</f>
        <v>46315</v>
      </c>
    </row>
    <row r="26">
      <c r="E26" s="16" t="s">
        <v>49</v>
      </c>
      <c r="F26" s="32">
        <f>Simulador!C7</f>
        <v>46316</v>
      </c>
      <c r="T26" s="16" t="s">
        <v>49</v>
      </c>
      <c r="U26" s="52">
        <f>'Simulador Reverso'!C7</f>
        <v>46316</v>
      </c>
    </row>
    <row r="27">
      <c r="E27" s="16" t="s">
        <v>50</v>
      </c>
      <c r="F27" s="87">
        <f>Simulador!C8</f>
        <v>0.021</v>
      </c>
      <c r="T27" s="16" t="s">
        <v>50</v>
      </c>
      <c r="U27" s="60">
        <f>'Simulador Reverso'!C8</f>
        <v>0.021</v>
      </c>
    </row>
    <row r="28">
      <c r="E28" s="16" t="s">
        <v>51</v>
      </c>
      <c r="F28" s="87">
        <f>Simulador!C9</f>
        <v>0.0219</v>
      </c>
      <c r="T28" s="16" t="s">
        <v>51</v>
      </c>
      <c r="U28" s="60">
        <f>'Simulador Reverso'!C9</f>
        <v>0.0219</v>
      </c>
    </row>
    <row r="29">
      <c r="E29" s="16" t="s">
        <v>52</v>
      </c>
      <c r="F29" s="88">
        <f>Simulador!C10</f>
        <v>658</v>
      </c>
      <c r="T29" s="16" t="s">
        <v>53</v>
      </c>
      <c r="U29" s="68">
        <f>'Simulador Reverso'!C10</f>
        <v>623.32</v>
      </c>
    </row>
    <row r="30">
      <c r="E30" s="16" t="s">
        <v>54</v>
      </c>
      <c r="F30" s="89">
        <f>Simulador!C11</f>
        <v>2</v>
      </c>
      <c r="T30" s="16" t="s">
        <v>54</v>
      </c>
      <c r="U30" s="90">
        <f>'Simulador Reverso'!C11</f>
        <v>2</v>
      </c>
    </row>
    <row r="31">
      <c r="E31" s="16" t="s">
        <v>55</v>
      </c>
      <c r="F31" s="68">
        <f>ROUND(F29 - (F30 - 1) * F32, 2)</f>
        <v>329</v>
      </c>
      <c r="T31" s="16" t="s">
        <v>56</v>
      </c>
      <c r="U31" s="58">
        <f>IF(U30&gt;0, SUMPRODUCT((P4:P21&lt;=U30)*W4:W21)/U30, 1)</f>
        <v>0.94728985</v>
      </c>
    </row>
    <row r="32">
      <c r="E32" s="16" t="s">
        <v>57</v>
      </c>
      <c r="F32" s="68">
        <f>ROUNDDOWN(F29 * ROUND(1/F30, 4), 2)</f>
        <v>329</v>
      </c>
      <c r="T32" s="16" t="s">
        <v>58</v>
      </c>
      <c r="U32" s="68">
        <f>IF(U31&gt;0, ROUND(U29/U31, 2), 0)</f>
        <v>658</v>
      </c>
    </row>
    <row r="33">
      <c r="T33" s="16" t="s">
        <v>55</v>
      </c>
      <c r="U33" s="68">
        <f>ROUND(U32 - (U30 - 1) * U34, 2)</f>
        <v>329</v>
      </c>
    </row>
    <row r="34">
      <c r="T34" s="16" t="s">
        <v>57</v>
      </c>
      <c r="U34" s="58">
        <f>ROUNDDOWN(U32 * ROUND(1/U30, 4), 2)</f>
        <v>329</v>
      </c>
    </row>
  </sheetData>
  <mergeCells count="2">
    <mergeCell ref="A2:G2"/>
    <mergeCell ref="H2:N2"/>
  </mergeCells>
  <drawing r:id="rId1"/>
</worksheet>
</file>